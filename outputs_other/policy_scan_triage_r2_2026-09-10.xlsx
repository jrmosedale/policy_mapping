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cisions applied" sheetId="2" state="visible" r:id="rId4"/>
    <sheet name="Still to decide" sheetId="3" state="visible" r:id="rId5"/>
    <sheet name="Resolv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<sst xmlns="http://schemas.openxmlformats.org/spreadsheetml/2006/main" count="624" uniqueCount="418">
  <si>
    <t xml:space="preserve">Policy scan triage — round 2</t>
  </si>
  <si>
    <t xml:space="preserve">Updated 10 September 2026 after Jonathan's decisions on the eight cross-cutting questions</t>
  </si>
  <si>
    <t xml:space="preserve">WHAT CHANGED</t>
  </si>
  <si>
    <t xml:space="preserve">Your eight decisions resolved 27 of the 95 candidates. This workbook now lists only the 68 still needing a call, on the 'Still to decide' sheet. The 27 settled ones are on 'Resolved' for the record, each naming the decision that settled it — nothing has been discarded.</t>
  </si>
  <si>
    <t xml:space="preserve">ONE NEW DECISION NEEDED</t>
  </si>
  <si>
    <t xml:space="preserve">Your energy-system rejection carried the caveat 'unless a clear nature dimension (energy crops perhaps?)'. Three candidates sit exactly on that boundary and I have NOT applied the rejection to them — see 'Decisions applied', rows 9-11. They need your call.</t>
  </si>
  <si>
    <t xml:space="preserve">HOW TO USE</t>
  </si>
  <si>
    <t xml:space="preserve">Work the 'Still to decide' sheet in cluster order. Fill column J from the dropdown; add a reason in K for anything rejected or deferred. Yellow cells are yours.</t>
  </si>
  <si>
    <t xml:space="preserve">Clusters A and G are checks rather than adds — they ask whether an existing record or framework is still current, so the useful decision is usually 'investigate' rather than add/reject.</t>
  </si>
  <si>
    <t xml:space="preserve">WHAT YOUR DECISIONS TRIGGER</t>
  </si>
  <si>
    <t xml:space="preserve">D8 (backlog audit) is the largest: 11 candidates fold into it rather than being added piecemeal — the two devolved framework Acts, Environmental Standards Scotland, the Office of Environmental Governance Wales, the Scottish biodiversity strategy layer, and three 2026 UK Acts. Scope it as one job.</t>
  </si>
  <si>
    <t xml:space="preserve">D5 turns one queue row into 13 POL records plus an overview.</t>
  </si>
  <si>
    <t xml:space="preserve">D6 means chasing Wales and NI 30by30 commitments, neither of which has been scanned yet.</t>
  </si>
  <si>
    <t xml:space="preserve">D7 needs a note added to POL-050 NPPF recording that the NSIP consenting regime is deliberately out of scope, so the next scan does not re-raise it.</t>
  </si>
  <si>
    <t xml:space="preserve">STILL TRUE FROM ROUND 1</t>
  </si>
  <si>
    <t xml:space="preserve">Nothing has been written to any workbook. The scan remains incomplete: gov.wales, DAERA, NatureScot, SEPA, NRW, nine international bodies, UK statutory instruments and a ~700-item title sweep are un-enumerated. Data/pending_additions.md remains canonical; this is a derived view.</t>
  </si>
  <si>
    <t xml:space="preserve">Ref</t>
  </si>
  <si>
    <t xml:space="preserve">Decision</t>
  </si>
  <si>
    <t xml:space="preserve">Your call</t>
  </si>
  <si>
    <t xml:space="preserve">Your note</t>
  </si>
  <si>
    <t xml:space="preserve">Candidates resolved</t>
  </si>
  <si>
    <t xml:space="preserve">Progress</t>
  </si>
  <si>
    <t xml:space="preserve">D1</t>
  </si>
  <si>
    <t xml:space="preserve">A UKHSA ORG record</t>
  </si>
  <si>
    <t xml:space="preserve">Add</t>
  </si>
  <si>
    <t xml:space="preserve">Candidates in round 1</t>
  </si>
  <si>
    <t xml:space="preserve">D2</t>
  </si>
  <si>
    <t xml:space="preserve">General_Type value 'Operational service / System'</t>
  </si>
  <si>
    <t xml:space="preserve">Resolved by your 8 decisions</t>
  </si>
  <si>
    <t xml:space="preserve">D3</t>
  </si>
  <si>
    <t xml:space="preserve">Building Act enabling-legislation LEG ID for Part O</t>
  </si>
  <si>
    <t xml:space="preserve">Detailed policy actions in this field probably not in scope — keep the record high-level</t>
  </si>
  <si>
    <t xml:space="preserve">Still to decide</t>
  </si>
  <si>
    <t xml:space="preserve">D4</t>
  </si>
  <si>
    <t xml:space="preserve">Energy-system policy in a climate–NATURE catalogue</t>
  </si>
  <si>
    <t xml:space="preserve">Rejected</t>
  </si>
  <si>
    <t xml:space="preserve">…unless a clear nature dimension (energy crops perhaps?)</t>
  </si>
  <si>
    <t xml:space="preserve">D5</t>
  </si>
  <si>
    <t xml:space="preserve">Environment Act target delivery plans: 13 records or 1</t>
  </si>
  <si>
    <t xml:space="preserve">Add — 13</t>
  </si>
  <si>
    <t xml:space="preserve">D6</t>
  </si>
  <si>
    <t xml:space="preserve">30by30 per-nation rather than UK-wide</t>
  </si>
  <si>
    <t xml:space="preserve">D7</t>
  </si>
  <si>
    <t xml:space="preserve">National Policy Statements in scope as a class</t>
  </si>
  <si>
    <t xml:space="preserve">Mention in National Planning Policy Framework but do not include</t>
  </si>
  <si>
    <t xml:space="preserve">D8</t>
  </si>
  <si>
    <t xml:space="preserve">Commission a legislative + devolved backlog audit</t>
  </si>
  <si>
    <t xml:space="preserve">Yes this is required</t>
  </si>
  <si>
    <t xml:space="preserve">NEW — the D4 boundary cases, not yet decided</t>
  </si>
  <si>
    <t xml:space="preserve">Candidate</t>
  </si>
  <si>
    <t xml:space="preserve">Why it sits on the boundary</t>
  </si>
  <si>
    <t xml:space="preserve">Your decision</t>
  </si>
  <si>
    <t xml:space="preserve">Notes</t>
  </si>
  <si>
    <t xml:space="preserve">UK Emissions Trading Scheme</t>
  </si>
  <si>
    <t xml:space="preserve">A carbon-pricing instrument rather than energy-system policy, and its 2026 expansion covers waste. It is also the one demonstrable broken chain in the workbook: ORG-013 exists to administer a scheme that has no record.</t>
  </si>
  <si>
    <t xml:space="preserve">Greenhouse gas removals programme</t>
  </si>
  <si>
    <t xml:space="preserve">The clearest nature dimension of the three — GGR spans afforestation, peatland restoration and BECCS as well as engineered removal.</t>
  </si>
  <si>
    <t xml:space="preserve">Sustainable aviation fuel revenue certainty mechanism</t>
  </si>
  <si>
    <t xml:space="preserve">This is the 'energy crops perhaps?' case in your own note — SAF feedstock is the nature link. The SAF Act 2026 is deferred behind the same call.</t>
  </si>
  <si>
    <t xml:space="preserve">Cluster</t>
  </si>
  <si>
    <t xml:space="preserve">Family</t>
  </si>
  <si>
    <t xml:space="preserve">Proposed record</t>
  </si>
  <si>
    <t xml:space="preserve">Climate input</t>
  </si>
  <si>
    <t xml:space="preserve">Overlap / status in workbooks</t>
  </si>
  <si>
    <t xml:space="preserve">Confidence &amp; notes</t>
  </si>
  <si>
    <t xml:space="preserve">Source</t>
  </si>
  <si>
    <t xml:space="preserve">Reason / Record ID</t>
  </si>
  <si>
    <t xml:space="preserve">A. Framework currency — indicators workbook content</t>
  </si>
  <si>
    <t xml:space="preserve">IFW</t>
  </si>
  <si>
    <t xml:space="preserve">CURRENCY CHECK — CCC Adaptation Monitoring Framework published 20 May 2026. [IFW-02] records 'CCC Mitigation &amp; Adaptation Monitoring Framework / UK Net Zero Strategy' with 111 indicator rows</t>
  </si>
  <si>
    <t xml:space="preserve">Yes</t>
  </si>
  <si>
    <t xml:space="preserve">[IFW-02] and its 111 CCC indicator rows</t>
  </si>
  <si>
    <t xml:space="preserve">High that a new Adaptation Monitoring Framework was published. Second framework-currency question alongside the EIF — verify whether the 111 rows reflect it</t>
  </si>
  <si>
    <t xml:space="preserve">https://www.theccc.org.uk/publications/</t>
  </si>
  <si>
    <t xml:space="preserve">Monitoring the condition of the natural environment (Defra)</t>
  </si>
  <si>
    <t xml:space="preserve">None. Published 16 Jul 2026 alongside the EIP progress report and the target delivery plans; likely describes the monitoring architecture behind [IFW-01] EIF</t>
  </si>
  <si>
    <t xml:space="preserve">Medium</t>
  </si>
  <si>
    <t xml:space="preserve">https://www.gov.uk/government/publications/monitoring-the-condition-of-the-natural-environment</t>
  </si>
  <si>
    <t xml:space="preserve">WATCH — UKBI 2026 not yet published. [IFW-03] records 'JNCC UK Biodiversity Indicators 2025'. No 2026 refresh appeared in the 6 Jul – 2 Sep window; UKBI is typically an autumn release</t>
  </si>
  <si>
    <t xml:space="preserve">[IFW-03] and its 77 JNCC indicator rows</t>
  </si>
  <si>
    <t xml:space="preserve">High that no refresh has occurred yet. Flag for the next scan: a UKBI refresh changes indicator records wholesale and is the single highest-impact event on the horizon for the indicators workbook</t>
  </si>
  <si>
    <t xml:space="preserve">https://jncc.gov.uk/our-work/uk-biodiversity-indicators/</t>
  </si>
  <si>
    <t xml:space="preserve">IND</t>
  </si>
  <si>
    <t xml:space="preserve">CHECK, not an addition — EIF indicator data refreshed six times in 2026 (13 Feb, 17 Mar incl. new indicators, 15 Apr K1/F2/F3, 13 May, 3 Jul A2/K4, 19 Aug)</t>
  </si>
  <si>
    <t xml:space="preserve">[IFW-01] and the 66 EIF indicator rows</t>
  </si>
  <si>
    <t xml:space="preserve">High that updates occurred; unknown whether any EIF indicator was added or retired — the 17 Mar entry says 'new indicators updated'. Workbook EIF rows may be stale</t>
  </si>
  <si>
    <t xml:space="preserve">https://www.gov.uk/government/publications/environmental-indicator-framework-recent-updates</t>
  </si>
  <si>
    <t xml:space="preserve">B. Drought, heat &amp; water — thematic gap</t>
  </si>
  <si>
    <t xml:space="preserve">Dry weather and drought in England 2026 summary reports; Water situation national and area monthly reports; Rainfall and river flow weekly reports (all Environment Agency)</t>
  </si>
  <si>
    <t xml:space="preserve">Yes — direct climate monitoring</t>
  </si>
  <si>
    <t xml:space="preserve">No drought indicator or policy record exists. [IND-C-105] covers freshwater quality and quantity; [IND-E-044] drought disruption. These are the operational hydrological monitoring series behind them</t>
  </si>
  <si>
    <t xml:space="preserve">High. Agency monitoring outside any framework — exactly the §3 case</t>
  </si>
  <si>
    <t xml:space="preserve">https://www.gov.uk/government/publications/dry-weather-and-drought-in-england-2026-summary-reports</t>
  </si>
  <si>
    <t xml:space="preserve">Heat mortality monitoring report, England (UKHSA Official Statistics)</t>
  </si>
  <si>
    <t xml:space="preserve">Overlaps [IND-C-130] Heat-related mortality and morbidity (England and Wales)</t>
  </si>
  <si>
    <t xml:space="preserve">Medium — the run itself flagged the overlap; this is the open schema decision on handling a UKHSA heat-mortality statistic</t>
  </si>
  <si>
    <t xml:space="preserve">https://www.gov.uk/government/publications/heat-mortality-monitoring-reports</t>
  </si>
  <si>
    <t xml:space="preserve">National assessment of flood and coastal erosion risk in England 2024 (NaFRA2)</t>
  </si>
  <si>
    <t xml:space="preserve">[IND-E-042] covers flooding disruption; NaFRA itself — the national risk assessment — has no record</t>
  </si>
  <si>
    <t xml:space="preserve">Medium — a risk assessment rather than an indicator; may belong as an IFW or a data source</t>
  </si>
  <si>
    <t xml:space="preserve">https://www.gov.uk/government/publications/national-assessment-of-flood-and-coastal-erosion-risk-in-england-2024</t>
  </si>
  <si>
    <t xml:space="preserve">POL</t>
  </si>
  <si>
    <t xml:space="preserve">Drought orders and drought permits — the statutory drought response mechanism (River Severn drought order application and public hearing; drought restriction notices for Teddington, Sunbury and Molesey, Penton Hook–Shepperton, Goring–Culham, St Johns–Osney, all 2026)</t>
  </si>
  <si>
    <t xml:space="preserve">Yes — the statutory instrument triggered by drought</t>
  </si>
  <si>
    <t xml:space="preserve">None. [LEG-025] Water Resources Act 1991 and [LEG-023] Water Act 2014 are held, but the drought order mechanism they enable has no record</t>
  </si>
  <si>
    <t xml:space="preserve">High. Third independent confirmation of the drought gap, and the only one that is statutory. Found only by sweeping notice, the type nearly excluded as permit noise</t>
  </si>
  <si>
    <t xml:space="preserve">https://www.gov.uk/government/publications/notice-of-application-for-a-drought-order-river-severn</t>
  </si>
  <si>
    <t xml:space="preserve">Humber 2100+ (tidal flood risk strategy) and shoreline management planning</t>
  </si>
  <si>
    <t xml:space="preserve">Yes — sea-level rise and tidal risk</t>
  </si>
  <si>
    <t xml:space="preserve">None, and no shoreline management plan record of any kind. Sits alongside the queued Thames Estuary 2100</t>
  </si>
  <si>
    <t xml:space="preserve">Medium — confirm whether Humber 2100+ is a distinct strategy or part of FCERM [POL-045]</t>
  </si>
  <si>
    <t xml:space="preserve">https://www.gov.uk/government/publications/humber-2100-understanding-tidal-risk</t>
  </si>
  <si>
    <t xml:space="preserve">National Framework for Water Resources 2025: water for growth, nature and a resilient future (Environment Agency, 27 Aug 2026)</t>
  </si>
  <si>
    <t xml:space="preserve">Yes — water availability under climate change</t>
  </si>
  <si>
    <t xml:space="preserve">None. [IND-C-144] covers strategic water supply capacity but no framework record exists</t>
  </si>
  <si>
    <t xml:space="preserve">High. The most substantive Block 2 find</t>
  </si>
  <si>
    <t xml:space="preserve">https://www.gov.uk/government/publications/national-framework-for-water-resources-2025-water-for-growth-nature-and-a-resilient-future</t>
  </si>
  <si>
    <t xml:space="preserve">Nature-based solutions for sustainable water resources — Environment Agency position statement (17 Aug 2026)</t>
  </si>
  <si>
    <t xml:space="preserve">No NbS policy record; only prose mentions in [ORG-005] and [ORG-019]</t>
  </si>
  <si>
    <t xml:space="preserve">Medium — decide whether an agency position statement is a POL</t>
  </si>
  <si>
    <t xml:space="preserve">https://www.gov.uk/government/publications/nature-based-solutions-for-sustainable-water-resources-environment-agency-position-statement</t>
  </si>
  <si>
    <t xml:space="preserve">River basin management planning cycle — significant water management issues consultation, and 'Agriculture and rural land management: challenges for the water environment'</t>
  </si>
  <si>
    <t xml:space="preserve">Only [LEG-047] Water Framework Directive (retained). The RBMP statutory planning and monitoring cycle has no POL record</t>
  </si>
  <si>
    <t xml:space="preserve">High that the gap exists; the consultation itself is open, so §3 defers it, but the underlying RBMP cycle is a standing record</t>
  </si>
  <si>
    <t xml:space="preserve">https://www.gov.uk/government/consultations/significant-water-management-issues-river-basin-management-plans</t>
  </si>
  <si>
    <t xml:space="preserve">Storm overflow assessment framework 2025 (Environment Agency)</t>
  </si>
  <si>
    <t xml:space="preserve">Indirect — rainfall-driven spill frequency</t>
  </si>
  <si>
    <t xml:space="preserve">None</t>
  </si>
  <si>
    <t xml:space="preserve">Medium — an assessment framework; may be IFW rather than POL</t>
  </si>
  <si>
    <t xml:space="preserve">https://www.gov.uk/government/publications/storm-overflow-assessment-framework-2025</t>
  </si>
  <si>
    <t xml:space="preserve">Thames Estuary 2100 (TE2100) and its 15-year monitoring review</t>
  </si>
  <si>
    <t xml:space="preserve">Yes — adaptive flood-risk management explicitly designed around sea-level rise</t>
  </si>
  <si>
    <t xml:space="preserve">High — review published 6 Aug 2026. A rare worked example of adaptive climate management with a monitoring cycle; likely of direct interest to MO</t>
  </si>
  <si>
    <t xml:space="preserve">https://www.gov.uk/government/collections/thames-estuary-2100-te2100</t>
  </si>
  <si>
    <t xml:space="preserve">Water Company Resilience to Heatwaves and Sustained Hot Weather (Defra written statement HCWS279/HLWS280, 16 Jul 2026)</t>
  </si>
  <si>
    <t xml:space="preserve">Yes — directly climate-driven; heatwave and sustained hot weather resilience of water supply</t>
  </si>
  <si>
    <t xml:space="preserve">No policy record. Nearest indicators are [IND-E-040] efficient use of water and [IND-E-044] drought disruption; no drought or heatwave *policy* record exists at all</t>
  </si>
  <si>
    <t xml:space="preserve">High. Read the statement in full — it likely names a resilience framework or Ofwat/EA requirement that is itself the record</t>
  </si>
  <si>
    <t xml:space="preserve">https://questions-statements.parliament.uk/written-statements?SearchTerm=&amp;DateFrom=2026-07-06&amp;DateTo=2026-09-02</t>
  </si>
  <si>
    <t xml:space="preserve">C. Devolved &amp; per-nation coverage</t>
  </si>
  <si>
    <t xml:space="preserve">JNCC evidence review on Northern Ireland peatland restoration, produced for DAERA (3 Aug 2026)</t>
  </si>
  <si>
    <t xml:space="preserve">Yes — peatland condition and carbon</t>
  </si>
  <si>
    <t xml:space="preserve">None. NI remains the least represented nation; no England or NI peatland record ([POL-066] Peatland ACTION is Scotland)</t>
  </si>
  <si>
    <t xml:space="preserve">https://jncc.gov.uk/news/</t>
  </si>
  <si>
    <t xml:space="preserve">Nature Recovery Strategy for Northern Ireland to 2032 (DAERA)</t>
  </si>
  <si>
    <t xml:space="preserve">Unknown until adopted</t>
  </si>
  <si>
    <t xml:space="preserve">None — NI least represented nation</t>
  </si>
  <si>
    <t xml:space="preserve">Low — DRAFT, consultation extended and not concluded; do not add until adopted</t>
  </si>
  <si>
    <t xml:space="preserve">https://www.daera-ni.gov.uk/consultations/draft-nature-recovery-strategy-extended-consultation-period</t>
  </si>
  <si>
    <t xml:space="preserve">D. Environment Act delivery layer (England)</t>
  </si>
  <si>
    <t xml:space="preserve">30by30 assessment framework — tiered criteria (Purpose / Protection / Management), Gold and Silver tiers, baseline ~7% of England meeting criteria</t>
  </si>
  <si>
    <t xml:space="preserve">Would be the monitoring instrument for the POL row above; relates to SSSI condition monitoring already reflected in the workbook</t>
  </si>
  <si>
    <t xml:space="preserve">Medium — decide whether a criteria-and-assurance framework of this kind warrants an IFW record or belongs as fields on the POL</t>
  </si>
  <si>
    <t xml:space="preserve">https://www.gov.uk/government/publications/30by30-on-land-assessing-whether-land-can-contribute</t>
  </si>
  <si>
    <t xml:space="preserve">Government Estate Nature Plan (GENP)</t>
  </si>
  <si>
    <t xml:space="preserve">None. Relates to 30by30 and the National Estate for Nature named in the 30by30 delivery plan</t>
  </si>
  <si>
    <t xml:space="preserve">High — 22 Jul 2026</t>
  </si>
  <si>
    <t xml:space="preserve">https://www.gov.uk/government/publications/government-estate-nature-plan-genp</t>
  </si>
  <si>
    <t xml:space="preserve">F. Scope decision — energy-system policy</t>
  </si>
  <si>
    <t xml:space="preserve">Greenhouse gas removals (GGR) programme — independent review and government response (2026)</t>
  </si>
  <si>
    <t xml:space="preserve">[IND-C-050] GGR portfolio indicator is held. Note the weaker inference: that indicator exists because the CCC's monitoring framework tracks GGR, which does not by itself establish that the GGR programme belongs in the governance workbook. Treat as a scope question, not a proven gap</t>
  </si>
  <si>
    <t xml:space="preserve">Medium, corrected down from High. Decide alongside the energy-system scope question below; if DESNZ energy policy is in scope this is a clear add, if not it is a clear exclude</t>
  </si>
  <si>
    <t xml:space="preserve">https://www.gov.uk/government/publications/greenhouse-gas-removals-ggrs-independent-review</t>
  </si>
  <si>
    <t xml:space="preserve">Sustainable aviation fuel (SAF) revenue certainty mechanism — contract allocation strategy</t>
  </si>
  <si>
    <t xml:space="preserve">[IND-C-041] SAF blend rate indicator is held, for the same reason as GGR — the CCC tracks it. Not by itself evidence that the mechanism belongs in the governance workbook</t>
  </si>
  <si>
    <t xml:space="preserve">Medium, corrected down from High. Same scope question as GGR</t>
  </si>
  <si>
    <t xml:space="preserve">https://www.gov.uk/government/publications/sustainable-aviation-fuel-saf-revenue-certainty-mechanism-contract-allocation-strategy</t>
  </si>
  <si>
    <t xml:space="preserve">UK Emissions Trading Scheme (UK ETS) — the scheme itself, plus its 2026 scope expansion to waste</t>
  </si>
  <si>
    <t xml:space="preserve">Internal inconsistency, not a judgement call: [ORG-013] UK ETS Authority exists *to administer the scheme* and [LEG-014] Energy Act 2023 and [LEG-030] GHG Emissions Trading Scheme Order underpin it, so the workbook already asserts a chain whose middle link has no record. General_Type would be Economic / market instrument</t>
  </si>
  <si>
    <t xml:space="preserve">High — the strongest of the Block 3 rows, and the same adjacent-record pattern as 30by30/[POL-022]</t>
  </si>
  <si>
    <t xml:space="preserve">https://www.gov.uk/government/publications/uk-emissions-trading-scheme-uk-ets-policy-overview</t>
  </si>
  <si>
    <t xml:space="preserve">G. Supersession / currency CHECKs</t>
  </si>
  <si>
    <t xml:space="preserve">CHECK — The Children's People and Nature Survey for England (Natural England, 2022-2025 updates)</t>
  </si>
  <si>
    <t xml:space="preserve">No — connection to nature, not a climate-input measure</t>
  </si>
  <si>
    <t xml:space="preserve">Overlaps [IND-E-051] Health and wellbeing benefits</t>
  </si>
  <si>
    <t xml:space="preserve">Medium — likely already the data source behind IND-E-051; verify rather than add</t>
  </si>
  <si>
    <t xml:space="preserve">https://www.gov.uk/government/statistics/the-childrens-people-and-nature-survey-for-england-2025-update</t>
  </si>
  <si>
    <t xml:space="preserve">CHECK — likely already held: Butterfly populations UK/England (overlaps [IND-E-029], [IND-J-014]); UK and England's carbon footprint (overlaps [IND-E-057]); British survey of fertiliser practice (relates to [IND-E-035], [IND-C-038])</t>
  </si>
  <si>
    <t xml:space="preserve">Held under framework indicator names rather than the statistic's own title</t>
  </si>
  <si>
    <t xml:space="preserve">High — verify the workbook's data vintage matches these releases rather than adding duplicates</t>
  </si>
  <si>
    <t xml:space="preserve">https://www.gov.uk/government/statistics/butterflies-in-the-wider-countryside-uk</t>
  </si>
  <si>
    <t xml:space="preserve">UK farm animal genetic resources (FAnGR): breed inventory results</t>
  </si>
  <si>
    <t xml:space="preserve">Indirect</t>
  </si>
  <si>
    <t xml:space="preserve">Genetic-diversity indicators exist in the CBD GBF sheet; check overlap before proposing</t>
  </si>
  <si>
    <t xml:space="preserve">https://www.gov.uk/government/statistics/uk-farm-animal-genetic-resources-fangr-breed-inventory-results</t>
  </si>
  <si>
    <t xml:space="preserve">LEG</t>
  </si>
  <si>
    <t xml:space="preserve">CHECK — Fisheries Act 2020: Post-Legislative assessment (29 Jul 2026) and Fisheries management plans: policy information (30 Jul 2026)</t>
  </si>
  <si>
    <t xml:space="preserve">n/a</t>
  </si>
  <si>
    <t xml:space="preserve">[LEG-052] Fisheries Act 2020, [POL-067] Fisheries Act climate change objective</t>
  </si>
  <si>
    <t xml:space="preserve">Medium — may update the status or content of both records rather than adding one</t>
  </si>
  <si>
    <t xml:space="preserve">https://www.gov.uk/government/publications/fisheries-act-2020-post-legislative-assessment</t>
  </si>
  <si>
    <t xml:space="preserve">Biodiversity gain statements for nationally significant infrastructure projects</t>
  </si>
  <si>
    <t xml:space="preserve">Check against any existing biodiversity net gain record before writing</t>
  </si>
  <si>
    <t xml:space="preserve">Medium — 31 Jul 2026</t>
  </si>
  <si>
    <t xml:space="preserve">https://www.gov.uk/government/collections/biodiversity-gain-statements-for-nationally-significant-infrastructure-projects</t>
  </si>
  <si>
    <t xml:space="preserve">CARRY FORWARD — open consultations, §3 excludes until concluded: Biodiversity net gain brownfield exemption (2 Sep 2026); four proposed Fisheries Management Plans — Celtic Sea and Western Channel demersal, Celtic Sea and Western Channel pelagic, Seabream, Wrasses complex (28 Jul 2026)</t>
  </si>
  <si>
    <t xml:space="preserve">Yes for the FMPs</t>
  </si>
  <si>
    <t xml:space="preserve">FMPs relate to [POL-067]</t>
  </si>
  <si>
    <t xml:space="preserve">High that they are open; revisit next scan</t>
  </si>
  <si>
    <t xml:space="preserve">https://www.gov.uk/government/consultations/biodiversity-net-gain-considering-a-targeted-exemption-for-brownfield-residential-development</t>
  </si>
  <si>
    <t xml:space="preserve">CHECK — Revised National Planning Policy Framework and further planning reform measures (MHCLG written statement, 1 Sep 2026)</t>
  </si>
  <si>
    <t xml:space="preserve">Indirect — planning policy governs land use and biodiversity net gain</t>
  </si>
  <si>
    <t xml:space="preserve">[POL-050] National Planning Policy Framework</t>
  </si>
  <si>
    <t xml:space="preserve">High that a revision was announced; confirm what changed for nature and BNG. Found in a non-Defra department's statements, which the watchlist would not have reached</t>
  </si>
  <si>
    <t xml:space="preserve">CHECK — Sustainable Farming Incentive 2026 (SFI26) may supersede [POL-054] SFI; Land Use Framework actions confirms a 2026 LUF against [POL-009] LUF 2025</t>
  </si>
  <si>
    <t xml:space="preserve">[POL-054], [POL-009]</t>
  </si>
  <si>
    <t xml:space="preserve">High that both are new iterations; supersessions, not additions</t>
  </si>
  <si>
    <t xml:space="preserve">https://www.gov.uk/government/publications/sustainable-farming-incentive-2026-sfi26</t>
  </si>
  <si>
    <t xml:space="preserve">CHECK, not an addition — Carbon Budget and Growth Delivery Plan (Oct 2025) may supersede [POL-004] 'UK Net Zero Strategy / Carbon Budget Delivery Plan (CBDP) 2023'</t>
  </si>
  <si>
    <t xml:space="preserve">[POL-004]</t>
  </si>
  <si>
    <t xml:space="preserve">Medium — a retirement/supersession, which §3 warns is easier to miss than an addition</t>
  </si>
  <si>
    <t xml:space="preserve">https://hansard.parliament.uk/Lords/2026-07-14/debates/B660D9E1-AB48-4C94-864E-8C2B9AAEDCEB/StateOfClimateAndNature</t>
  </si>
  <si>
    <t xml:space="preserve">CHECK, not an addition — Land Use Framework: [POL-009] records 'Land Use Framework (LUF) 2025' but the 14 Jul 2026 statement refers to a 2026 Land Use Framework</t>
  </si>
  <si>
    <t xml:space="preserve">[POL-009]</t>
  </si>
  <si>
    <t xml:space="preserve">Medium — confirm whether a 2026 version supersedes the 2025 record; if so this is an amendment, not a new record</t>
  </si>
  <si>
    <t xml:space="preserve">LOW PRIORITY / CONTEXT — Annual Statement on National Resilience (Cabinet Office, 14 Jul); Internal Drainage Board Levy Support Grant 2026-27 (MHCLG, 15 Jul); Zane Gbangbola non-statutory inquiry (Defra, 13 Jul); Dartmoor ponies (Defra, 16 Jul)</t>
  </si>
  <si>
    <t xml:space="preserve">Mixed</t>
  </si>
  <si>
    <t xml:space="preserve">[ORG-041] Cabinet Office; [LEG-065] Land Drainage Act 1991</t>
  </si>
  <si>
    <t xml:space="preserve">Low — screened and recorded so they are not reconsidered next quarter. National Resilience may reference climate risk; check once</t>
  </si>
  <si>
    <t xml:space="preserve">H. Straightforward adds</t>
  </si>
  <si>
    <t xml:space="preserve">Flood and Coastal Erosion Risk Management in England: central government funding and performance</t>
  </si>
  <si>
    <t xml:space="preserve">Yes — flood risk is a climate impact</t>
  </si>
  <si>
    <t xml:space="preserve">[POL-045] holds the FCERM strategy but no indicator record exists for the statistic</t>
  </si>
  <si>
    <t xml:space="preserve">High</t>
  </si>
  <si>
    <t xml:space="preserve">https://www.gov.uk/government/statistics/flood-and-coastal-erosion-risk-management-in-england-central-government-funding-and-performance</t>
  </si>
  <si>
    <t xml:space="preserve">MCCIP sea-temperature evidence update (UK &amp; Ireland)</t>
  </si>
  <si>
    <t xml:space="preserve">Yes — sea temperature is the measured quantity</t>
  </si>
  <si>
    <t xml:space="preserve">MCCIP is catalogued as [POL-049] but has no indicator rows; blocked on the pending MCCIP scaffold decision</t>
  </si>
  <si>
    <t xml:space="preserve">Medium — MCCIP publishes topic-level evidence with confidence ratings, not a quantitative indicator catalogue</t>
  </si>
  <si>
    <t xml:space="preserve">https://www.mccip.org.uk/recent-updates</t>
  </si>
  <si>
    <t xml:space="preserve">Provisional Cormorant population indices for England 2026</t>
  </si>
  <si>
    <t xml:space="preserve">Yes — population index, climate-sensitive</t>
  </si>
  <si>
    <t xml:space="preserve">No match in any framework sheet — an agency monitoring statistic outside every catalogued framework</t>
  </si>
  <si>
    <t xml:space="preserve">https://www.gov.uk/government/statistics/provisional-cormorant-population-indices-for-england-2026</t>
  </si>
  <si>
    <t xml:space="preserve">River Tyne, Tees and Wear fish counts (Environment Agency statistical data sets)</t>
  </si>
  <si>
    <t xml:space="preserve">Yes — salmonid counts are strongly temperature- and flow-sensitive</t>
  </si>
  <si>
    <t xml:space="preserve">No match in any framework sheet</t>
  </si>
  <si>
    <t xml:space="preserve">Medium — decide whether river-specific series belong as records or as a data source on a national indicator</t>
  </si>
  <si>
    <t xml:space="preserve">https://www.gov.uk/government/statistical-data-sets/river-tyne-fish-counts</t>
  </si>
  <si>
    <t xml:space="preserve">UK bluefin tuna fishery (opened 2026; commercial fishery in UK waters)</t>
  </si>
  <si>
    <t xml:space="preserve">Yes — a range-shift signal; bluefin tuna returning to UK waters is widely read as a warming indicator</t>
  </si>
  <si>
    <t xml:space="preserve">Medium — decide whether a fishery is an indicator or a policy record; the *distribution shift* is the climate-relevant quantity</t>
  </si>
  <si>
    <t xml:space="preserve">https://www.gov.uk/guidance/bluefin-tuna-bft-commercial-fishery-within-uk-waters</t>
  </si>
  <si>
    <t xml:space="preserve">ORG</t>
  </si>
  <si>
    <t xml:space="preserve">Local Nature Partnerships (collective)</t>
  </si>
  <si>
    <t xml:space="preserve">[ORG-037] Local Authorities (collective) is the nearest analogue; [POL-014] LNRS relates</t>
  </si>
  <si>
    <t xml:space="preserve">Medium — decide whether a collective LNP record is warranted, as for ORG-037</t>
  </si>
  <si>
    <t xml:space="preserve">https://www.gov.uk/government/publications/map-of-local-nature-partnerships</t>
  </si>
  <si>
    <t xml:space="preserve">Agroforestry funding and grants; Tree Production Innovation Fund; Tree Production Capital Grant (both currently closed)</t>
  </si>
  <si>
    <t xml:space="preserve">Yes — tree cover and carbon</t>
  </si>
  <si>
    <t xml:space="preserve">No agroforestry record; [POL-055] EWCO and [POL-011] England Trees Action Plan are held</t>
  </si>
  <si>
    <t xml:space="preserve">Medium — closed funds may warrant retired records rather than live ones</t>
  </si>
  <si>
    <t xml:space="preserve">https://www.gov.uk/government/publications/funding-and-grants-for-agroforestry</t>
  </si>
  <si>
    <t xml:space="preserve">Biodiverse Landscapes Fund</t>
  </si>
  <si>
    <t xml:space="preserve">High — 13 Aug 2026; international biodiversity funding programme</t>
  </si>
  <si>
    <t xml:space="preserve">https://www.gov.uk/government/publications/biodiverse-landscapes-fund</t>
  </si>
  <si>
    <t xml:space="preserve">Defra generic and pest-specific contingency plans / GB Plant Health Service outbreak response</t>
  </si>
  <si>
    <t xml:space="preserve">Yes — Defra partners with the Met Office for predicted pest emergence dates</t>
  </si>
  <si>
    <t xml:space="preserve">None; related to [POL-034] Plant Biosecurity Strategy</t>
  </si>
  <si>
    <t xml:space="preserve">High — documented MO-Defra operational channel</t>
  </si>
  <si>
    <t xml:space="preserve">https://planthealthportal.defra.gov.uk/pests-and-diseases/contingency-planning/</t>
  </si>
  <si>
    <t xml:space="preserve">Farmer Collaboration Fund</t>
  </si>
  <si>
    <t xml:space="preserve">Relates to the ELM cluster [POL-013], [POL-054], [POL-061]</t>
  </si>
  <si>
    <t xml:space="preserve">Low</t>
  </si>
  <si>
    <t xml:space="preserve">https://www.gov.uk/government/publications/farmer-collaboration-fund</t>
  </si>
  <si>
    <t xml:space="preserve">Farming Roadmap 2050: Growing England's Future (CP 1611, Defra)</t>
  </si>
  <si>
    <t xml:space="preserve">Yes — agricultural land use and transition are climate-sensitive</t>
  </si>
  <si>
    <t xml:space="preserve">None; relates to [POL-013] ELM, [POL-054] SFI, [POL-061] CSHT</t>
  </si>
  <si>
    <t xml:space="preserve">High — June 2026, Command Paper</t>
  </si>
  <si>
    <t xml:space="preserve">https://www.gov.uk/government/publications/farming-roadmap-2050</t>
  </si>
  <si>
    <t xml:space="preserve">Fisheries Act 2020 climate change objective - JFS and FMPs</t>
  </si>
  <si>
    <t xml:space="preserve">—</t>
  </si>
  <si>
    <t xml:space="preserve">https://www.legislation.gov.uk/ukpga/2020/22/contents</t>
  </si>
  <si>
    <t xml:space="preserve">Future Homes Standard (rooftop solar on new homes from 2027)</t>
  </si>
  <si>
    <t xml:space="preserve">Yes — location-specific sunshine climatology informs yield estimates</t>
  </si>
  <si>
    <t xml:space="preserve">Medium — URL is the 2023 consultation; find the final standard before writing</t>
  </si>
  <si>
    <t xml:space="preserve">https://www.gov.uk/government/consultations/the-future-homes-and-buildings-standards-2023-consultation</t>
  </si>
  <si>
    <t xml:space="preserve">Illegal Tree Felling: reducing the restocking notice appeals backlog (Defra, 15 Jul 2026)</t>
  </si>
  <si>
    <t xml:space="preserve">Indirect — woodland extent and condition</t>
  </si>
  <si>
    <t xml:space="preserve">[LEG-027] Forestry Act 1967 and [ORG-009] Forestry Commission hold the enforcement powers; no record of the appeals process or backlog measure</t>
  </si>
  <si>
    <t xml:space="preserve">Medium — may be an operational update rather than a record</t>
  </si>
  <si>
    <t xml:space="preserve">Interactive Story Map on spatial evidence for climate and nature (14 Jul 2026)</t>
  </si>
  <si>
    <t xml:space="preserve">Yes — spatial climate-nature evidence, directly relevant to the project's spatial-metrics question</t>
  </si>
  <si>
    <t xml:space="preserve">Low — named in the statement; locate the actual product and assess before writing</t>
  </si>
  <si>
    <t xml:space="preserve">JNCC Signpost Series — 'Integrating nature's value into land-use decisions across the UK' (2 Sep 2026)</t>
  </si>
  <si>
    <t xml:space="preserve">Indirect — natural capital in land-use decisions</t>
  </si>
  <si>
    <t xml:space="preserve">None; relates to [POL-009] Land Use Framework</t>
  </si>
  <si>
    <t xml:space="preserve">Low–medium — an evidence report rather than a policy; assess whether the Signpost Series warrants a record</t>
  </si>
  <si>
    <t xml:space="preserve">Local Sites (Local Wildlife Sites) — selection, management and nature conservation guidance</t>
  </si>
  <si>
    <t xml:space="preserve">None. A whole tier of non-statutory site designation is absent, below SSSI level</t>
  </si>
  <si>
    <t xml:space="preserve">Medium — decide whether the Local Sites system warrants a record</t>
  </si>
  <si>
    <t xml:space="preserve">https://www.gov.uk/guidance/selecting-and-managing-local-sites</t>
  </si>
  <si>
    <t xml:space="preserve">Marine Recovery Fund (terms and conditions for offshore wind developers)</t>
  </si>
  <si>
    <t xml:space="preserve">Indirect — marine compensation for offshore wind</t>
  </si>
  <si>
    <t xml:space="preserve">Medium — found under guidance</t>
  </si>
  <si>
    <t xml:space="preserve">https://www.gov.uk/government/publications/marine-recovery-fund-terms-and-conditions-for-offshore-wind-developers</t>
  </si>
  <si>
    <t xml:space="preserve">National Drought Group / coordinated drought response</t>
  </si>
  <si>
    <t xml:space="preserve">Yes — drought is a climate impact; EIF F1-F3 resilience indicators relate</t>
  </si>
  <si>
    <t xml:space="preserve">Medium — surfaced as Defra news 20 Aug 2026 ('Coordinated drought response intensifies amid extreme weather'); confirm whether the National Drought Group warrants a standing POL or is an operational response</t>
  </si>
  <si>
    <t xml:space="preserve">https://www.gov.uk/government/organisations/department-for-environment-food-rural-affairs.atom</t>
  </si>
  <si>
    <t xml:space="preserve">Nature security assessment on global biodiversity loss, ecosystem collapse and national security (Defra)</t>
  </si>
  <si>
    <t xml:space="preserve">Yes — frames ecosystem collapse pathways, climate-driven</t>
  </si>
  <si>
    <t xml:space="preserve">Medium — published Jan 2026; find the gov.uk landing page for the primary link before writing</t>
  </si>
  <si>
    <t xml:space="preserve">https://hansard.parliament.uk/commons/2026-06-04/debates/CC1A879B-3B94-4B08-9B66-60AB047E06BC/GlobalBiodiversityLossAndEcosystemCollapseNationalSecurityAssessment</t>
  </si>
  <si>
    <t xml:space="preserve">Observatree (citizen-science tree-health surveillance)</t>
  </si>
  <si>
    <t xml:space="preserve">Possible — survey effort could be targeted using climate-suitability maps</t>
  </si>
  <si>
    <t xml:space="preserve">Mentioned within [POL-033] and [POL-034] but holds no record of its own</t>
  </si>
  <si>
    <t xml:space="preserve">Medium — decide whether a partnership programme warrants its own POL or stays a prose mention</t>
  </si>
  <si>
    <t xml:space="preserve">https://www.observatree.org.uk/</t>
  </si>
  <si>
    <t xml:space="preserve">PFAS Plan</t>
  </si>
  <si>
    <t xml:space="preserve">No — chemical pollution, no climate input</t>
  </si>
  <si>
    <t xml:space="preserve">High — 17 Aug 2026. Catalogue under the tiered rule (§7.3) with climate relevance scored zero</t>
  </si>
  <si>
    <t xml:space="preserve">https://www.gov.uk/government/publications/pfas-plan</t>
  </si>
  <si>
    <t xml:space="preserve">Peatland Restoration Sector Capacity Grant Scheme (England)</t>
  </si>
  <si>
    <t xml:space="preserve">[POL-066] Peatland ACTION is Scotland; no England equivalent held</t>
  </si>
  <si>
    <t xml:space="preserve">Medium — locate the scheme's own landing page, not the privacy notice, before writing</t>
  </si>
  <si>
    <t xml:space="preserve">https://www.gov.uk/government/publications/peatland-restoration-sector-capacity-grant-scheme-privacy-notice</t>
  </si>
  <si>
    <t xml:space="preserve">Shellfish official-control and HAB / biotoxin monitoring (Cefas for FSA / FSS)</t>
  </si>
  <si>
    <t xml:space="preserve">https://www.cefas.co.uk/</t>
  </si>
  <si>
    <t xml:space="preserve">Solar Roadmap 2025 (DESNZ / Solar Taskforce / Solar Council)</t>
  </si>
  <si>
    <t xml:space="preserve">Yes — solar-resource climatology informs siting and yield</t>
  </si>
  <si>
    <t xml:space="preserve">None; [POL-005] Clean Power 2030 and [POL-016] CfD mention solar but are different instruments</t>
  </si>
  <si>
    <t xml:space="preserve">High — published 30 Jun 2025; 72 actions to reach 45-47 GW</t>
  </si>
  <si>
    <t xml:space="preserve">https://www.gov.uk/government/publications/solar-roadmap</t>
  </si>
  <si>
    <t xml:space="preserve">Species Recovery Programme (projects awarded funding 2026–2029; 'over 350 threatened species to benefit')</t>
  </si>
  <si>
    <t xml:space="preserve">Yes — species status under climate pressure</t>
  </si>
  <si>
    <t xml:space="preserve">None. [BIP-019] and [BIP-051] are international species indicators, not this programme</t>
  </si>
  <si>
    <t xml:space="preserve">High — a substantial NE delivery programme</t>
  </si>
  <si>
    <t xml:space="preserve">https://www.gov.uk/government/publications/species-recovery-programme-projects-awarded-funding-for-2026-to-2029</t>
  </si>
  <si>
    <t xml:space="preserve">The Blue Belt Programme</t>
  </si>
  <si>
    <t xml:space="preserve">Yes — marine protection in the UK Overseas Territories</t>
  </si>
  <si>
    <t xml:space="preserve">None — no Blue Belt record exists</t>
  </si>
  <si>
    <t xml:space="preserve">High. Found only by the title sweep, under detailed_guide</t>
  </si>
  <si>
    <t xml:space="preserve">https://www.gov.uk/guidance/the-blue-belt-programme</t>
  </si>
  <si>
    <t xml:space="preserve">The UK's approach to deforestation regulations</t>
  </si>
  <si>
    <t xml:space="preserve">Yes — forest loss and land use</t>
  </si>
  <si>
    <t xml:space="preserve">Related to [POL-029] 2030 Strategic Framework for International Climate and Nature; no forest-risk-commodities record exists</t>
  </si>
  <si>
    <t xml:space="preserve">High — 2 Sep 2026</t>
  </si>
  <si>
    <t xml:space="preserve">https://www.gov.uk/government/publications/the-uks-approach-to-deforestation-regulations</t>
  </si>
  <si>
    <t xml:space="preserve">UK Blue Carbon Evidence Partnership (UKBCEP)</t>
  </si>
  <si>
    <t xml:space="preserve">https://uk-bcep.org/</t>
  </si>
  <si>
    <t xml:space="preserve">Water White Paper 2026 (Defra)</t>
  </si>
  <si>
    <t xml:space="preserve">Yes — water resource and drought policy</t>
  </si>
  <si>
    <t xml:space="preserve">None; regulators [ORG-006], [ORG-011], [ORG-022] present but the White Paper is not</t>
  </si>
  <si>
    <t xml:space="preserve">Medium — published 2026 with a correction slip; confirm the gov.uk landing page and exact date</t>
  </si>
  <si>
    <t xml:space="preserve">https://www.gov.uk/government/publications/</t>
  </si>
  <si>
    <t xml:space="preserve">I. Low priority / recorded as screened</t>
  </si>
  <si>
    <t xml:space="preserve">Marine ecological events surfaced in Block 2: South West octopus bloom (MMO tracking page opened); seaweed surveys finding species new to science; Atlantic salmon stocks in the Derwent catchment</t>
  </si>
  <si>
    <t xml:space="preserve">Yes — anomalous marine events are climate-linked</t>
  </si>
  <si>
    <t xml:space="preserve">Low–medium — event reporting rather than indicators, but the octopus bloom prompted a standing MMO monitoring page, which may itself be a record</t>
  </si>
  <si>
    <t xml:space="preserve">https://www.gov.uk/guidance/mmo-updates-on-the-octopus-bloom</t>
  </si>
  <si>
    <t xml:space="preserve">Future of Rural England Report</t>
  </si>
  <si>
    <t xml:space="preserve">Indirect — rural land use</t>
  </si>
  <si>
    <t xml:space="preserve">Low — 16 Jul 2026; assess whether it introduces commitments or is analysis only</t>
  </si>
  <si>
    <t xml:space="preserve">https://www.gov.uk/government/publications/future-of-rural-england-report</t>
  </si>
  <si>
    <t xml:space="preserve">LOW PRIORITY — CCC supporting research in window: synergies between local climate mitigation and adaptation (25 Aug); local authorities and the Seventh Carbon Budget (8 Jul); letter to DAERA on agricultural policy (19 Aug)</t>
  </si>
  <si>
    <t xml:space="preserve">Supporting research and correspondence, not records</t>
  </si>
  <si>
    <t xml:space="preserve">Low — recorded as screened</t>
  </si>
  <si>
    <t xml:space="preserve">LOW PRIORITY — Natural England Action Plan 2026-27; NE designations programme for areas, sites and trails; Thames Regional Flood and Coastal Committee strategy; King Charles III England Coast Path</t>
  </si>
  <si>
    <t xml:space="preserve">None held; corporate or programme-level</t>
  </si>
  <si>
    <t xml:space="preserve">Low — recorded so they are not reconsidered next quarter</t>
  </si>
  <si>
    <t xml:space="preserve">https://www.gov.uk/government/publications/natural-england-action-plan-2026-to-2027</t>
  </si>
  <si>
    <t xml:space="preserve">NIL RETURN IN WINDOW. OEP published only corporate items 6 Jul – 2 Sep: whistleblowing report (19 Aug), Corporate Plan 2026/27–2027/28 (10 Aug), Annual Report and Accounts (9 Jul). Its neonicotinoid emergency-authorisation investigation (2 Jul) and NI natural-environment progress report (24 Jun) fall just before the window</t>
  </si>
  <si>
    <t xml:space="preserve">[ORG-007] OEP</t>
  </si>
  <si>
    <t xml:space="preserve">High — a clean negative, recorded so the source is demonstrably scanned</t>
  </si>
  <si>
    <t xml:space="preserve">https://www.theoep.org.uk/publications/reports-and-publications</t>
  </si>
  <si>
    <t xml:space="preserve">Record</t>
  </si>
  <si>
    <t xml:space="preserve">Outcome</t>
  </si>
  <si>
    <t xml:space="preserve">Settled by</t>
  </si>
  <si>
    <t xml:space="preserve">Follow-up</t>
  </si>
  <si>
    <t xml:space="preserve">Natural Environment (Scotland) Act 2026 (2026 asp 6)</t>
  </si>
  <si>
    <t xml:space="preserve">add</t>
  </si>
  <si>
    <t xml:space="preserve">D8 legislative + devolved backlog audit commissioned</t>
  </si>
  <si>
    <t xml:space="preserve">Core of the devolved audit</t>
  </si>
  <si>
    <t xml:space="preserve">Environment (Principles, Governance and Biodiversity Targets) (Wales) Act 2026 (2026 asc 4)</t>
  </si>
  <si>
    <t xml:space="preserve">Office of Environmental Governance Wales</t>
  </si>
  <si>
    <t xml:space="preserve">Environmental Standards Scotland (ESS)</t>
  </si>
  <si>
    <t xml:space="preserve">Heat-Health Alerting System / Weather-Health Alerts (UKHSA - Met Office)</t>
  </si>
  <si>
    <t xml:space="preserve">D1+D2 UKHSA record and Operational service / System type agreed</t>
  </si>
  <si>
    <t xml:space="preserve">Adverse Weather and Health Plan (UKHSA)</t>
  </si>
  <si>
    <t xml:space="preserve">Building Regulations Part O (overheating in new residential buildings)</t>
  </si>
  <si>
    <t xml:space="preserve">D3 Building Act LEG ID agreed</t>
  </si>
  <si>
    <t xml:space="preserve">Jonathan: detailed policy actions in this field probably out of scope - keep the record high-level</t>
  </si>
  <si>
    <t xml:space="preserve">NSWWS Extreme Heat warnings (Met Office)</t>
  </si>
  <si>
    <t xml:space="preserve">UK Health Security Agency (UKHSA)</t>
  </si>
  <si>
    <t xml:space="preserve">D1 UKHSA ORG record agreed</t>
  </si>
  <si>
    <t xml:space="preserve">GB Plant Health Risk Register / Defra plant health risk and horizon scanning</t>
  </si>
  <si>
    <t xml:space="preserve">30by30 on land in England — commitment, criteria and delivery plan</t>
  </si>
  <si>
    <t xml:space="preserve">D6 30by30 recorded per nation</t>
  </si>
  <si>
    <t xml:space="preserve">Also chase Wales and NI 30by30 commitments - neither yet scanned</t>
  </si>
  <si>
    <t xml:space="preserve">Environment Act target delivery plans — 13 plans plus an overview (agriculture water quality; air quality; farm wildlife; habitat creation and restoration; marine protected areas; invasive non-native species; residual waste reduction; statutory species targets; tree canopy and woodland cover; water and abandoned metal mines; water demand; protected sites)</t>
  </si>
  <si>
    <t xml:space="preserve">D5 granularity = 13 records</t>
  </si>
  <si>
    <t xml:space="preserve">Create 13 POL records, one per target plan, plus the overview</t>
  </si>
  <si>
    <t xml:space="preserve">Carbon Border Adjustment Mechanism — July 2026 delivery update (HM Treasury, 14 Jul 2026)</t>
  </si>
  <si>
    <t xml:space="preserve">rejected</t>
  </si>
  <si>
    <t xml:space="preserve">D4 energy-system policy out of scope</t>
  </si>
  <si>
    <t xml:space="preserve">No clear nature dimension</t>
  </si>
  <si>
    <t xml:space="preserve">National Policy Statement for Ports (DfT, 6 Jul 2026); Review of National Policy Statements for Nuclear Energy Infrastructure (DESNZ, 16 Jul 2026)</t>
  </si>
  <si>
    <t xml:space="preserve">D7 NPSs not in scope</t>
  </si>
  <si>
    <t xml:space="preserve">Note the exclusion in [POL-050] NPPF so the next scan does not re-raise it</t>
  </si>
  <si>
    <t xml:space="preserve">Climate Change Agreements (CCA) scheme</t>
  </si>
  <si>
    <t xml:space="preserve">Energy Savings Opportunity Scheme (ESOS), phases 3 and 4</t>
  </si>
  <si>
    <t xml:space="preserve">National Policy Statements as a class — ports NPS and proposed amendments (DfT); nuclear energy infrastructure NPS review (DESNZ)</t>
  </si>
  <si>
    <t xml:space="preserve">LOW PRIORITY — Clean flexibility roadmap; Corporate Power Purchase Agreements; Ecodesign CE marking; Electric Vehicle Excise Duty; Net zero ports call for evidence</t>
  </si>
  <si>
    <t xml:space="preserve">Sustainable Aviation Fuel Act 2026 (2026 c. 9)</t>
  </si>
  <si>
    <t xml:space="preserve">defer</t>
  </si>
  <si>
    <t xml:space="preserve">SAF Act: hold pending the D4 boundary call - aviation fuel feedstock may be the 'energy crops' nature dimension</t>
  </si>
  <si>
    <t xml:space="preserve">Taxation (Energy and Vehicles) Act 2026 (2026 c. 26); Finance Act 2026 (2026 c. 11 — check for CBAM provisions)</t>
  </si>
  <si>
    <t xml:space="preserve">Fold into the backlog audit rather than adding piecemeal</t>
  </si>
  <si>
    <t xml:space="preserve">English Devolution and Community Empowerment Act 2026 (2026 c. 23)</t>
  </si>
  <si>
    <t xml:space="preserve">AUDIT FINDING — only one of the 27 UK Public General Acts of 2026 is held. The Legislation sheet contains [LEG-010] BBNJ Act 2026 alone; c.1–c.27 were enumerated and at least four are climate- or nature-relevant</t>
  </si>
  <si>
    <t xml:space="preserve">Memorandum of Understanding between the CCC and Environmental Standards Scotland (23 Jul 2026)</t>
  </si>
  <si>
    <t xml:space="preserve">Scottish Biodiversity Strategy to 2045 and Scottish Biodiversity Delivery Plan 2024–2030</t>
  </si>
  <si>
    <t xml:space="preserve">Scottish Biodiversity Programme (Scottish Government with NatureScot)</t>
  </si>
  <si>
    <t xml:space="preserve">Scotland's 30 by 30 commitment (distinct from England's, delivered via NatureScot)</t>
  </si>
  <si>
    <t xml:space="preserve">METHOD CORRECTION affecting the three rows above. An earlier framing claimed that holding an indicator without a corresponding policy or legislation record was 'positive evidence of a gap'. That is too strong. The indicators workbook catalogues *frameworks' indicators*: an indicator exists because a framework tracks that quantity, which is a statement about the framework, not about what the governance workbook should contain. The inference only holds where an indicator's Policy_Goal or Indirect_Policy_Links field names a policy or Act that has no record — then the workbook is internally inconsistent, which is a defect rather than a scope judgement. [ORG-013]/[LEG-014]/UK ETS meets that test; SAF and GGR do not</t>
  </si>
  <si>
    <t xml:space="preserve">record only</t>
  </si>
  <si>
    <t xml:space="preserve">Method note, not a candidate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</si>
</sst>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5563"/>
      <name val="Arial"/>
      <family val="0"/>
      <charset val="1"/>
    </font>
    <font>
      <sz val="10"/>
      <color rgb="FF1F2A33"/>
      <name val="Arial"/>
      <family val="0"/>
      <charset val="1"/>
    </font>
    <font>
      <b val="true"/>
      <sz val="12"/>
      <color rgb="FF0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556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07012"/>
      <name val="Arial"/>
      <family val="0"/>
      <charset val="1"/>
    </font>
    <font>
      <b val="true"/>
      <sz val="10"/>
      <color rgb="FF0B5563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CDE9D2"/>
        <bgColor rgb="FFC5D0D4"/>
      </patternFill>
    </fill>
    <fill>
      <patternFill patternType="solid">
        <fgColor rgb="FFF5D9D9"/>
        <bgColor rgb="FFFFF2CC"/>
      </patternFill>
    </fill>
    <fill>
      <patternFill patternType="solid">
        <fgColor rgb="FFFFF2CC"/>
        <bgColor rgb="FFF7F9FA"/>
      </patternFill>
    </fill>
    <fill>
      <patternFill patternType="solid">
        <fgColor rgb="FFEAF2F3"/>
        <bgColor rgb="FFF7F9FA"/>
      </patternFill>
    </fill>
    <fill>
      <patternFill patternType="solid">
        <fgColor rgb="FFF7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0D4"/>
      </left>
      <right style="thin">
        <color rgb="FFC5D0D4"/>
      </right>
      <top style="thin">
        <color rgb="FFC5D0D4"/>
      </top>
      <bottom style="thin">
        <color rgb="FFC5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012"/>
      <rgbColor rgb="FF800080"/>
      <rgbColor rgb="FF008080"/>
      <rgbColor rgb="FFC5D0D4"/>
      <rgbColor rgb="FF808080"/>
      <rgbColor rgb="FF9999FF"/>
      <rgbColor rgb="FF993366"/>
      <rgbColor rgb="FFFFF2CC"/>
      <rgbColor rgb="FFEA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A"/>
      <rgbColor rgb="FFCDE9D2"/>
      <rgbColor rgb="FFFFFF99"/>
      <rgbColor rgb="FF99CCFF"/>
      <rgbColor rgb="FFFF99CC"/>
      <rgbColor rgb="FFCC99FF"/>
      <rgbColor rgb="FFF5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563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45.75" hidden="false" customHeight="tru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45.75" hidden="false" customHeight="tru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45.75" hidden="false" customHeight="true" outlineLevel="0" collapsed="false">
      <c r="A11" s="2" t="s">
        <v>7</v>
      </c>
    </row>
    <row r="12" customFormat="false" ht="45.75" hidden="false" customHeight="tru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9</v>
      </c>
    </row>
    <row r="15" customFormat="false" ht="45.75" hidden="false" customHeight="tru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45.75" hidden="false" customHeight="tru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45.75" hidden="false" customHeight="true" outlineLevel="0" collapsed="false">
      <c r="A2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7" style="0" width="26"/>
    <col collapsed="false" customWidth="true" hidden="false" outlineLevel="0" max="8" min="8" style="0" width="8"/>
  </cols>
  <sheetData>
    <row r="1" customFormat="false" ht="23.8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G1" s="5" t="s">
        <v>21</v>
      </c>
    </row>
    <row r="2" customFormat="false" ht="33.75" hidden="false" customHeight="true" outlineLevel="0" collapsed="false">
      <c r="A2" s="6" t="s">
        <v>22</v>
      </c>
      <c r="B2" s="7" t="s">
        <v>23</v>
      </c>
      <c r="C2" s="8" t="s">
        <v>24</v>
      </c>
      <c r="D2" s="7"/>
      <c r="E2" s="7" t="n">
        <v>5</v>
      </c>
      <c r="G2" s="9" t="s">
        <v>25</v>
      </c>
      <c r="H2" s="10" t="n">
        <f aca="false">95</f>
        <v>95</v>
      </c>
    </row>
    <row r="3" customFormat="false" ht="33.75" hidden="false" customHeight="true" outlineLevel="0" collapsed="false">
      <c r="A3" s="6" t="s">
        <v>26</v>
      </c>
      <c r="B3" s="7" t="s">
        <v>27</v>
      </c>
      <c r="C3" s="8" t="s">
        <v>24</v>
      </c>
      <c r="D3" s="7"/>
      <c r="E3" s="7" t="n">
        <v>0</v>
      </c>
      <c r="G3" s="9" t="s">
        <v>28</v>
      </c>
      <c r="H3" s="10" t="n">
        <f aca="false">COUNTA(Resolved!B2:B28)</f>
        <v>27</v>
      </c>
    </row>
    <row r="4" customFormat="false" ht="33.75" hidden="false" customHeight="true" outlineLevel="0" collapsed="false">
      <c r="A4" s="6" t="s">
        <v>29</v>
      </c>
      <c r="B4" s="7" t="s">
        <v>30</v>
      </c>
      <c r="C4" s="8" t="s">
        <v>24</v>
      </c>
      <c r="D4" s="7" t="s">
        <v>31</v>
      </c>
      <c r="E4" s="7" t="n">
        <v>1</v>
      </c>
      <c r="G4" s="9" t="s">
        <v>32</v>
      </c>
      <c r="H4" s="10" t="n">
        <f aca="false">COUNTA('Still to decide'!C2:C229)</f>
        <v>68</v>
      </c>
    </row>
    <row r="5" customFormat="false" ht="33.75" hidden="false" customHeight="true" outlineLevel="0" collapsed="false">
      <c r="A5" s="6" t="s">
        <v>33</v>
      </c>
      <c r="B5" s="7" t="s">
        <v>34</v>
      </c>
      <c r="C5" s="11" t="s">
        <v>35</v>
      </c>
      <c r="D5" s="7" t="s">
        <v>36</v>
      </c>
      <c r="E5" s="7" t="n">
        <v>4</v>
      </c>
    </row>
    <row r="6" customFormat="false" ht="33.75" hidden="false" customHeight="true" outlineLevel="0" collapsed="false">
      <c r="A6" s="6" t="s">
        <v>37</v>
      </c>
      <c r="B6" s="7" t="s">
        <v>38</v>
      </c>
      <c r="C6" s="8" t="s">
        <v>39</v>
      </c>
      <c r="D6" s="7"/>
      <c r="E6" s="7" t="n">
        <v>1</v>
      </c>
    </row>
    <row r="7" customFormat="false" ht="33.75" hidden="false" customHeight="true" outlineLevel="0" collapsed="false">
      <c r="A7" s="6" t="s">
        <v>40</v>
      </c>
      <c r="B7" s="7" t="s">
        <v>41</v>
      </c>
      <c r="C7" s="8" t="s">
        <v>24</v>
      </c>
      <c r="D7" s="7"/>
      <c r="E7" s="7" t="n">
        <v>2</v>
      </c>
    </row>
    <row r="8" customFormat="false" ht="33.75" hidden="false" customHeight="true" outlineLevel="0" collapsed="false">
      <c r="A8" s="6" t="s">
        <v>42</v>
      </c>
      <c r="B8" s="7" t="s">
        <v>43</v>
      </c>
      <c r="C8" s="11" t="s">
        <v>35</v>
      </c>
      <c r="D8" s="7" t="s">
        <v>44</v>
      </c>
      <c r="E8" s="7" t="n">
        <v>2</v>
      </c>
    </row>
    <row r="9" customFormat="false" ht="33.75" hidden="false" customHeight="true" outlineLevel="0" collapsed="false">
      <c r="A9" s="6" t="s">
        <v>45</v>
      </c>
      <c r="B9" s="7" t="s">
        <v>46</v>
      </c>
      <c r="C9" s="8" t="s">
        <v>24</v>
      </c>
      <c r="D9" s="7" t="s">
        <v>47</v>
      </c>
      <c r="E9" s="7" t="n">
        <v>11</v>
      </c>
    </row>
    <row r="11" customFormat="false" ht="15" hidden="false" customHeight="false" outlineLevel="0" collapsed="false">
      <c r="B11" s="12" t="s">
        <v>48</v>
      </c>
    </row>
    <row r="12" customFormat="false" ht="15" hidden="false" customHeight="false" outlineLevel="0" collapsed="false">
      <c r="A12" s="13" t="s">
        <v>49</v>
      </c>
      <c r="B12" s="13" t="s">
        <v>50</v>
      </c>
      <c r="C12" s="13" t="s">
        <v>51</v>
      </c>
      <c r="D12" s="13" t="s">
        <v>52</v>
      </c>
    </row>
    <row r="13" customFormat="false" ht="43.5" hidden="false" customHeight="true" outlineLevel="0" collapsed="false">
      <c r="A13" s="6" t="s">
        <v>53</v>
      </c>
      <c r="B13" s="7" t="s">
        <v>54</v>
      </c>
      <c r="C13" s="14"/>
      <c r="D13" s="14"/>
    </row>
    <row r="14" customFormat="false" ht="43.5" hidden="false" customHeight="true" outlineLevel="0" collapsed="false">
      <c r="A14" s="6" t="s">
        <v>55</v>
      </c>
      <c r="B14" s="7" t="s">
        <v>56</v>
      </c>
      <c r="C14" s="14"/>
      <c r="D14" s="14"/>
    </row>
    <row r="15" customFormat="false" ht="43.5" hidden="false" customHeight="true" outlineLevel="0" collapsed="false">
      <c r="A15" s="6" t="s">
        <v>57</v>
      </c>
      <c r="B15" s="7" t="s">
        <v>58</v>
      </c>
      <c r="C15" s="14"/>
      <c r="D15" s="14"/>
    </row>
  </sheetData>
  <dataValidations count="1">
    <dataValidation allowBlank="true" errorStyle="stop" operator="between" showDropDown="false" showErrorMessage="false" showInputMessage="false" sqref="C13:C15" type="list">
      <formula1>"in scope - add,out of scope - reject,defer"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6" min="5" style="0" width="46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30" hidden="false" customHeight="true" outlineLevel="0" collapsed="false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17</v>
      </c>
      <c r="I1" s="4" t="s">
        <v>66</v>
      </c>
    </row>
    <row r="2" customFormat="false" ht="19.5" hidden="false" customHeight="true" outlineLevel="0" collapsed="false">
      <c r="A2" s="15" t="s">
        <v>67</v>
      </c>
      <c r="B2" s="15"/>
      <c r="C2" s="15"/>
      <c r="D2" s="15"/>
      <c r="E2" s="15"/>
      <c r="F2" s="15"/>
      <c r="G2" s="15"/>
      <c r="H2" s="15"/>
      <c r="I2" s="15"/>
    </row>
    <row r="3" customFormat="false" ht="45.75" hidden="false" customHeight="true" outlineLevel="0" collapsed="false">
      <c r="A3" s="16"/>
      <c r="B3" s="16" t="s">
        <v>68</v>
      </c>
      <c r="C3" s="16" t="s">
        <v>69</v>
      </c>
      <c r="D3" s="16" t="s">
        <v>70</v>
      </c>
      <c r="E3" s="16" t="s">
        <v>71</v>
      </c>
      <c r="F3" s="16" t="s">
        <v>72</v>
      </c>
      <c r="G3" s="16" t="s">
        <v>73</v>
      </c>
      <c r="H3" s="17"/>
      <c r="I3" s="17"/>
    </row>
    <row r="4" customFormat="false" ht="45.75" hidden="false" customHeight="true" outlineLevel="0" collapsed="false">
      <c r="A4" s="18"/>
      <c r="B4" s="18" t="s">
        <v>68</v>
      </c>
      <c r="C4" s="18" t="s">
        <v>74</v>
      </c>
      <c r="D4" s="18" t="s">
        <v>70</v>
      </c>
      <c r="E4" s="18" t="s">
        <v>75</v>
      </c>
      <c r="F4" s="18" t="s">
        <v>76</v>
      </c>
      <c r="G4" s="18" t="s">
        <v>77</v>
      </c>
      <c r="H4" s="17"/>
      <c r="I4" s="17"/>
    </row>
    <row r="5" customFormat="false" ht="45.75" hidden="false" customHeight="true" outlineLevel="0" collapsed="false">
      <c r="A5" s="16"/>
      <c r="B5" s="16" t="s">
        <v>68</v>
      </c>
      <c r="C5" s="16" t="s">
        <v>78</v>
      </c>
      <c r="D5" s="16" t="s">
        <v>70</v>
      </c>
      <c r="E5" s="16" t="s">
        <v>79</v>
      </c>
      <c r="F5" s="16" t="s">
        <v>80</v>
      </c>
      <c r="G5" s="16" t="s">
        <v>81</v>
      </c>
      <c r="H5" s="17"/>
      <c r="I5" s="17"/>
    </row>
    <row r="6" customFormat="false" ht="45.75" hidden="false" customHeight="true" outlineLevel="0" collapsed="false">
      <c r="A6" s="18"/>
      <c r="B6" s="18" t="s">
        <v>82</v>
      </c>
      <c r="C6" s="18" t="s">
        <v>83</v>
      </c>
      <c r="D6" s="18" t="s">
        <v>70</v>
      </c>
      <c r="E6" s="18" t="s">
        <v>84</v>
      </c>
      <c r="F6" s="18" t="s">
        <v>85</v>
      </c>
      <c r="G6" s="18" t="s">
        <v>86</v>
      </c>
      <c r="H6" s="17"/>
      <c r="I6" s="17"/>
    </row>
    <row r="7" customFormat="false" ht="19.5" hidden="false" customHeight="true" outlineLevel="0" collapsed="false">
      <c r="A7" s="15" t="s">
        <v>87</v>
      </c>
      <c r="B7" s="15"/>
      <c r="C7" s="15"/>
      <c r="D7" s="15"/>
      <c r="E7" s="15"/>
      <c r="F7" s="15"/>
      <c r="G7" s="15"/>
      <c r="H7" s="15"/>
      <c r="I7" s="15"/>
    </row>
    <row r="8" customFormat="false" ht="45.75" hidden="false" customHeight="true" outlineLevel="0" collapsed="false">
      <c r="A8" s="18"/>
      <c r="B8" s="18" t="s">
        <v>82</v>
      </c>
      <c r="C8" s="18" t="s">
        <v>88</v>
      </c>
      <c r="D8" s="18" t="s">
        <v>89</v>
      </c>
      <c r="E8" s="18" t="s">
        <v>90</v>
      </c>
      <c r="F8" s="18" t="s">
        <v>91</v>
      </c>
      <c r="G8" s="18" t="s">
        <v>92</v>
      </c>
      <c r="H8" s="17"/>
      <c r="I8" s="17"/>
    </row>
    <row r="9" customFormat="false" ht="45.75" hidden="false" customHeight="true" outlineLevel="0" collapsed="false">
      <c r="A9" s="16"/>
      <c r="B9" s="16" t="s">
        <v>82</v>
      </c>
      <c r="C9" s="16" t="s">
        <v>93</v>
      </c>
      <c r="D9" s="16" t="s">
        <v>70</v>
      </c>
      <c r="E9" s="16" t="s">
        <v>94</v>
      </c>
      <c r="F9" s="16" t="s">
        <v>95</v>
      </c>
      <c r="G9" s="16" t="s">
        <v>96</v>
      </c>
      <c r="H9" s="17"/>
      <c r="I9" s="17"/>
    </row>
    <row r="10" customFormat="false" ht="45.75" hidden="false" customHeight="true" outlineLevel="0" collapsed="false">
      <c r="A10" s="18"/>
      <c r="B10" s="18" t="s">
        <v>82</v>
      </c>
      <c r="C10" s="18" t="s">
        <v>97</v>
      </c>
      <c r="D10" s="18" t="s">
        <v>70</v>
      </c>
      <c r="E10" s="18" t="s">
        <v>98</v>
      </c>
      <c r="F10" s="18" t="s">
        <v>99</v>
      </c>
      <c r="G10" s="18" t="s">
        <v>100</v>
      </c>
      <c r="H10" s="17"/>
      <c r="I10" s="17"/>
    </row>
    <row r="11" customFormat="false" ht="45.75" hidden="false" customHeight="true" outlineLevel="0" collapsed="false">
      <c r="A11" s="16"/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6" t="s">
        <v>106</v>
      </c>
      <c r="H11" s="17"/>
      <c r="I11" s="17"/>
    </row>
    <row r="12" customFormat="false" ht="45.75" hidden="false" customHeight="true" outlineLevel="0" collapsed="false">
      <c r="A12" s="18"/>
      <c r="B12" s="18" t="s">
        <v>101</v>
      </c>
      <c r="C12" s="18" t="s">
        <v>107</v>
      </c>
      <c r="D12" s="18" t="s">
        <v>108</v>
      </c>
      <c r="E12" s="18" t="s">
        <v>109</v>
      </c>
      <c r="F12" s="18" t="s">
        <v>110</v>
      </c>
      <c r="G12" s="18" t="s">
        <v>111</v>
      </c>
      <c r="H12" s="17"/>
      <c r="I12" s="17"/>
    </row>
    <row r="13" customFormat="false" ht="45.75" hidden="false" customHeight="true" outlineLevel="0" collapsed="false">
      <c r="A13" s="16"/>
      <c r="B13" s="16" t="s">
        <v>101</v>
      </c>
      <c r="C13" s="16" t="s">
        <v>112</v>
      </c>
      <c r="D13" s="16" t="s">
        <v>113</v>
      </c>
      <c r="E13" s="16" t="s">
        <v>114</v>
      </c>
      <c r="F13" s="16" t="s">
        <v>115</v>
      </c>
      <c r="G13" s="16" t="s">
        <v>116</v>
      </c>
      <c r="H13" s="17"/>
      <c r="I13" s="17"/>
    </row>
    <row r="14" customFormat="false" ht="45.75" hidden="false" customHeight="true" outlineLevel="0" collapsed="false">
      <c r="A14" s="18"/>
      <c r="B14" s="18" t="s">
        <v>101</v>
      </c>
      <c r="C14" s="18" t="s">
        <v>117</v>
      </c>
      <c r="D14" s="18" t="s">
        <v>70</v>
      </c>
      <c r="E14" s="18" t="s">
        <v>118</v>
      </c>
      <c r="F14" s="18" t="s">
        <v>119</v>
      </c>
      <c r="G14" s="18" t="s">
        <v>120</v>
      </c>
      <c r="H14" s="17"/>
      <c r="I14" s="17"/>
    </row>
    <row r="15" customFormat="false" ht="45.75" hidden="false" customHeight="true" outlineLevel="0" collapsed="false">
      <c r="A15" s="16"/>
      <c r="B15" s="16" t="s">
        <v>101</v>
      </c>
      <c r="C15" s="16" t="s">
        <v>121</v>
      </c>
      <c r="D15" s="16" t="s">
        <v>70</v>
      </c>
      <c r="E15" s="16" t="s">
        <v>122</v>
      </c>
      <c r="F15" s="16" t="s">
        <v>123</v>
      </c>
      <c r="G15" s="16" t="s">
        <v>124</v>
      </c>
      <c r="H15" s="17"/>
      <c r="I15" s="17"/>
    </row>
    <row r="16" customFormat="false" ht="45.75" hidden="false" customHeight="true" outlineLevel="0" collapsed="false">
      <c r="A16" s="18"/>
      <c r="B16" s="18" t="s">
        <v>101</v>
      </c>
      <c r="C16" s="18" t="s">
        <v>125</v>
      </c>
      <c r="D16" s="18" t="s">
        <v>126</v>
      </c>
      <c r="E16" s="18" t="s">
        <v>127</v>
      </c>
      <c r="F16" s="18" t="s">
        <v>128</v>
      </c>
      <c r="G16" s="18" t="s">
        <v>129</v>
      </c>
      <c r="H16" s="17"/>
      <c r="I16" s="17"/>
    </row>
    <row r="17" customFormat="false" ht="45.75" hidden="false" customHeight="true" outlineLevel="0" collapsed="false">
      <c r="A17" s="16"/>
      <c r="B17" s="16" t="s">
        <v>101</v>
      </c>
      <c r="C17" s="16" t="s">
        <v>130</v>
      </c>
      <c r="D17" s="16" t="s">
        <v>131</v>
      </c>
      <c r="E17" s="16" t="s">
        <v>127</v>
      </c>
      <c r="F17" s="16" t="s">
        <v>132</v>
      </c>
      <c r="G17" s="16" t="s">
        <v>133</v>
      </c>
      <c r="H17" s="17"/>
      <c r="I17" s="17"/>
    </row>
    <row r="18" customFormat="false" ht="45.75" hidden="false" customHeight="true" outlineLevel="0" collapsed="false">
      <c r="A18" s="18"/>
      <c r="B18" s="18" t="s">
        <v>101</v>
      </c>
      <c r="C18" s="18" t="s">
        <v>134</v>
      </c>
      <c r="D18" s="18" t="s">
        <v>135</v>
      </c>
      <c r="E18" s="18" t="s">
        <v>136</v>
      </c>
      <c r="F18" s="18" t="s">
        <v>137</v>
      </c>
      <c r="G18" s="18" t="s">
        <v>138</v>
      </c>
      <c r="H18" s="17"/>
      <c r="I18" s="17"/>
    </row>
    <row r="19" customFormat="false" ht="19.5" hidden="false" customHeight="true" outlineLevel="0" collapsed="false">
      <c r="A19" s="15" t="s">
        <v>139</v>
      </c>
      <c r="B19" s="15"/>
      <c r="C19" s="15"/>
      <c r="D19" s="15"/>
      <c r="E19" s="15"/>
      <c r="F19" s="15"/>
      <c r="G19" s="15"/>
      <c r="H19" s="15"/>
      <c r="I19" s="15"/>
    </row>
    <row r="20" customFormat="false" ht="45.75" hidden="false" customHeight="true" outlineLevel="0" collapsed="false">
      <c r="A20" s="18"/>
      <c r="B20" s="18" t="s">
        <v>101</v>
      </c>
      <c r="C20" s="18" t="s">
        <v>140</v>
      </c>
      <c r="D20" s="18" t="s">
        <v>141</v>
      </c>
      <c r="E20" s="18" t="s">
        <v>142</v>
      </c>
      <c r="F20" s="18" t="s">
        <v>76</v>
      </c>
      <c r="G20" s="18" t="s">
        <v>143</v>
      </c>
      <c r="H20" s="17"/>
      <c r="I20" s="17"/>
    </row>
    <row r="21" customFormat="false" ht="45.75" hidden="false" customHeight="true" outlineLevel="0" collapsed="false">
      <c r="A21" s="16"/>
      <c r="B21" s="16" t="s">
        <v>101</v>
      </c>
      <c r="C21" s="16" t="s">
        <v>144</v>
      </c>
      <c r="D21" s="16" t="s">
        <v>145</v>
      </c>
      <c r="E21" s="16" t="s">
        <v>146</v>
      </c>
      <c r="F21" s="16" t="s">
        <v>147</v>
      </c>
      <c r="G21" s="16" t="s">
        <v>148</v>
      </c>
      <c r="H21" s="17"/>
      <c r="I21" s="17"/>
    </row>
    <row r="22" customFormat="false" ht="19.5" hidden="false" customHeight="true" outlineLevel="0" collapsed="false">
      <c r="A22" s="15" t="s">
        <v>149</v>
      </c>
      <c r="B22" s="15"/>
      <c r="C22" s="15"/>
      <c r="D22" s="15"/>
      <c r="E22" s="15"/>
      <c r="F22" s="15"/>
      <c r="G22" s="15"/>
      <c r="H22" s="15"/>
      <c r="I22" s="15"/>
    </row>
    <row r="23" customFormat="false" ht="45.75" hidden="false" customHeight="true" outlineLevel="0" collapsed="false">
      <c r="A23" s="16"/>
      <c r="B23" s="16" t="s">
        <v>68</v>
      </c>
      <c r="C23" s="16" t="s">
        <v>150</v>
      </c>
      <c r="D23" s="16" t="s">
        <v>70</v>
      </c>
      <c r="E23" s="16" t="s">
        <v>151</v>
      </c>
      <c r="F23" s="16" t="s">
        <v>152</v>
      </c>
      <c r="G23" s="16" t="s">
        <v>153</v>
      </c>
      <c r="H23" s="17"/>
      <c r="I23" s="17"/>
    </row>
    <row r="24" customFormat="false" ht="45.75" hidden="false" customHeight="true" outlineLevel="0" collapsed="false">
      <c r="A24" s="18"/>
      <c r="B24" s="18" t="s">
        <v>101</v>
      </c>
      <c r="C24" s="18" t="s">
        <v>154</v>
      </c>
      <c r="D24" s="18" t="s">
        <v>70</v>
      </c>
      <c r="E24" s="18" t="s">
        <v>155</v>
      </c>
      <c r="F24" s="18" t="s">
        <v>156</v>
      </c>
      <c r="G24" s="18" t="s">
        <v>157</v>
      </c>
      <c r="H24" s="17"/>
      <c r="I24" s="17"/>
    </row>
    <row r="25" customFormat="false" ht="19.5" hidden="false" customHeight="true" outlineLevel="0" collapsed="false">
      <c r="A25" s="15" t="s">
        <v>158</v>
      </c>
      <c r="B25" s="15"/>
      <c r="C25" s="15"/>
      <c r="D25" s="15"/>
      <c r="E25" s="15"/>
      <c r="F25" s="15"/>
      <c r="G25" s="15"/>
      <c r="H25" s="15"/>
      <c r="I25" s="15"/>
    </row>
    <row r="26" customFormat="false" ht="45.75" hidden="false" customHeight="true" outlineLevel="0" collapsed="false">
      <c r="A26" s="18"/>
      <c r="B26" s="18" t="s">
        <v>101</v>
      </c>
      <c r="C26" s="18" t="s">
        <v>159</v>
      </c>
      <c r="D26" s="18" t="s">
        <v>70</v>
      </c>
      <c r="E26" s="18" t="s">
        <v>160</v>
      </c>
      <c r="F26" s="18" t="s">
        <v>161</v>
      </c>
      <c r="G26" s="18" t="s">
        <v>162</v>
      </c>
      <c r="H26" s="17"/>
      <c r="I26" s="17"/>
    </row>
    <row r="27" customFormat="false" ht="45.75" hidden="false" customHeight="true" outlineLevel="0" collapsed="false">
      <c r="A27" s="16"/>
      <c r="B27" s="16" t="s">
        <v>101</v>
      </c>
      <c r="C27" s="16" t="s">
        <v>163</v>
      </c>
      <c r="D27" s="16" t="s">
        <v>70</v>
      </c>
      <c r="E27" s="16" t="s">
        <v>164</v>
      </c>
      <c r="F27" s="16" t="s">
        <v>165</v>
      </c>
      <c r="G27" s="16" t="s">
        <v>166</v>
      </c>
      <c r="H27" s="17"/>
      <c r="I27" s="17"/>
    </row>
    <row r="28" customFormat="false" ht="45.75" hidden="false" customHeight="true" outlineLevel="0" collapsed="false">
      <c r="A28" s="18"/>
      <c r="B28" s="18" t="s">
        <v>101</v>
      </c>
      <c r="C28" s="18" t="s">
        <v>167</v>
      </c>
      <c r="D28" s="18" t="s">
        <v>70</v>
      </c>
      <c r="E28" s="18" t="s">
        <v>168</v>
      </c>
      <c r="F28" s="18" t="s">
        <v>169</v>
      </c>
      <c r="G28" s="18" t="s">
        <v>170</v>
      </c>
      <c r="H28" s="17"/>
      <c r="I28" s="17"/>
    </row>
    <row r="29" customFormat="false" ht="19.5" hidden="false" customHeight="true" outlineLevel="0" collapsed="false">
      <c r="A29" s="15" t="s">
        <v>171</v>
      </c>
      <c r="B29" s="15"/>
      <c r="C29" s="15"/>
      <c r="D29" s="15"/>
      <c r="E29" s="15"/>
      <c r="F29" s="15"/>
      <c r="G29" s="15"/>
      <c r="H29" s="15"/>
      <c r="I29" s="15"/>
    </row>
    <row r="30" customFormat="false" ht="45.75" hidden="false" customHeight="true" outlineLevel="0" collapsed="false">
      <c r="A30" s="18"/>
      <c r="B30" s="18" t="s">
        <v>82</v>
      </c>
      <c r="C30" s="18" t="s">
        <v>172</v>
      </c>
      <c r="D30" s="18" t="s">
        <v>173</v>
      </c>
      <c r="E30" s="18" t="s">
        <v>174</v>
      </c>
      <c r="F30" s="18" t="s">
        <v>175</v>
      </c>
      <c r="G30" s="18" t="s">
        <v>176</v>
      </c>
      <c r="H30" s="17"/>
      <c r="I30" s="17"/>
    </row>
    <row r="31" customFormat="false" ht="45.75" hidden="false" customHeight="true" outlineLevel="0" collapsed="false">
      <c r="A31" s="16"/>
      <c r="B31" s="16" t="s">
        <v>82</v>
      </c>
      <c r="C31" s="16" t="s">
        <v>177</v>
      </c>
      <c r="D31" s="16" t="s">
        <v>70</v>
      </c>
      <c r="E31" s="16" t="s">
        <v>178</v>
      </c>
      <c r="F31" s="16" t="s">
        <v>179</v>
      </c>
      <c r="G31" s="16" t="s">
        <v>180</v>
      </c>
      <c r="H31" s="17"/>
      <c r="I31" s="17"/>
    </row>
    <row r="32" customFormat="false" ht="45.75" hidden="false" customHeight="true" outlineLevel="0" collapsed="false">
      <c r="A32" s="18"/>
      <c r="B32" s="18" t="s">
        <v>82</v>
      </c>
      <c r="C32" s="18" t="s">
        <v>181</v>
      </c>
      <c r="D32" s="18" t="s">
        <v>182</v>
      </c>
      <c r="E32" s="18" t="s">
        <v>183</v>
      </c>
      <c r="F32" s="18" t="s">
        <v>76</v>
      </c>
      <c r="G32" s="18" t="s">
        <v>184</v>
      </c>
      <c r="H32" s="17"/>
      <c r="I32" s="17"/>
    </row>
    <row r="33" customFormat="false" ht="45.75" hidden="false" customHeight="true" outlineLevel="0" collapsed="false">
      <c r="A33" s="16"/>
      <c r="B33" s="16" t="s">
        <v>185</v>
      </c>
      <c r="C33" s="16" t="s">
        <v>186</v>
      </c>
      <c r="D33" s="16" t="s">
        <v>187</v>
      </c>
      <c r="E33" s="16" t="s">
        <v>188</v>
      </c>
      <c r="F33" s="16" t="s">
        <v>189</v>
      </c>
      <c r="G33" s="16" t="s">
        <v>190</v>
      </c>
      <c r="H33" s="17"/>
      <c r="I33" s="17"/>
    </row>
    <row r="34" customFormat="false" ht="45.75" hidden="false" customHeight="true" outlineLevel="0" collapsed="false">
      <c r="A34" s="18"/>
      <c r="B34" s="18" t="s">
        <v>101</v>
      </c>
      <c r="C34" s="18" t="s">
        <v>191</v>
      </c>
      <c r="D34" s="18" t="s">
        <v>182</v>
      </c>
      <c r="E34" s="18" t="s">
        <v>192</v>
      </c>
      <c r="F34" s="18" t="s">
        <v>193</v>
      </c>
      <c r="G34" s="18" t="s">
        <v>194</v>
      </c>
      <c r="H34" s="17"/>
      <c r="I34" s="17"/>
    </row>
    <row r="35" customFormat="false" ht="45.75" hidden="false" customHeight="true" outlineLevel="0" collapsed="false">
      <c r="A35" s="16"/>
      <c r="B35" s="16" t="s">
        <v>101</v>
      </c>
      <c r="C35" s="16" t="s">
        <v>195</v>
      </c>
      <c r="D35" s="16" t="s">
        <v>196</v>
      </c>
      <c r="E35" s="16" t="s">
        <v>197</v>
      </c>
      <c r="F35" s="16" t="s">
        <v>198</v>
      </c>
      <c r="G35" s="16" t="s">
        <v>199</v>
      </c>
      <c r="H35" s="17"/>
      <c r="I35" s="17"/>
    </row>
    <row r="36" customFormat="false" ht="45.75" hidden="false" customHeight="true" outlineLevel="0" collapsed="false">
      <c r="A36" s="18"/>
      <c r="B36" s="18" t="s">
        <v>101</v>
      </c>
      <c r="C36" s="18" t="s">
        <v>200</v>
      </c>
      <c r="D36" s="18" t="s">
        <v>201</v>
      </c>
      <c r="E36" s="18" t="s">
        <v>202</v>
      </c>
      <c r="F36" s="18" t="s">
        <v>203</v>
      </c>
      <c r="G36" s="18" t="s">
        <v>138</v>
      </c>
      <c r="H36" s="17"/>
      <c r="I36" s="17"/>
    </row>
    <row r="37" customFormat="false" ht="45.75" hidden="false" customHeight="true" outlineLevel="0" collapsed="false">
      <c r="A37" s="16"/>
      <c r="B37" s="16" t="s">
        <v>101</v>
      </c>
      <c r="C37" s="16" t="s">
        <v>204</v>
      </c>
      <c r="D37" s="16" t="s">
        <v>187</v>
      </c>
      <c r="E37" s="16" t="s">
        <v>205</v>
      </c>
      <c r="F37" s="16" t="s">
        <v>206</v>
      </c>
      <c r="G37" s="16" t="s">
        <v>207</v>
      </c>
      <c r="H37" s="17"/>
      <c r="I37" s="17"/>
    </row>
    <row r="38" customFormat="false" ht="45.75" hidden="false" customHeight="true" outlineLevel="0" collapsed="false">
      <c r="A38" s="18"/>
      <c r="B38" s="18" t="s">
        <v>101</v>
      </c>
      <c r="C38" s="18" t="s">
        <v>208</v>
      </c>
      <c r="D38" s="18" t="s">
        <v>187</v>
      </c>
      <c r="E38" s="18" t="s">
        <v>209</v>
      </c>
      <c r="F38" s="18" t="s">
        <v>210</v>
      </c>
      <c r="G38" s="18" t="s">
        <v>211</v>
      </c>
      <c r="H38" s="17"/>
      <c r="I38" s="17"/>
    </row>
    <row r="39" customFormat="false" ht="45.75" hidden="false" customHeight="true" outlineLevel="0" collapsed="false">
      <c r="A39" s="16"/>
      <c r="B39" s="16" t="s">
        <v>101</v>
      </c>
      <c r="C39" s="16" t="s">
        <v>212</v>
      </c>
      <c r="D39" s="16" t="s">
        <v>187</v>
      </c>
      <c r="E39" s="16" t="s">
        <v>213</v>
      </c>
      <c r="F39" s="16" t="s">
        <v>214</v>
      </c>
      <c r="G39" s="16" t="s">
        <v>211</v>
      </c>
      <c r="H39" s="17"/>
      <c r="I39" s="17"/>
    </row>
    <row r="40" customFormat="false" ht="45.75" hidden="false" customHeight="true" outlineLevel="0" collapsed="false">
      <c r="A40" s="18"/>
      <c r="B40" s="18" t="s">
        <v>101</v>
      </c>
      <c r="C40" s="18" t="s">
        <v>215</v>
      </c>
      <c r="D40" s="18" t="s">
        <v>216</v>
      </c>
      <c r="E40" s="18" t="s">
        <v>217</v>
      </c>
      <c r="F40" s="18" t="s">
        <v>218</v>
      </c>
      <c r="G40" s="18" t="s">
        <v>138</v>
      </c>
      <c r="H40" s="17"/>
      <c r="I40" s="17"/>
    </row>
    <row r="41" customFormat="false" ht="19.5" hidden="false" customHeight="true" outlineLevel="0" collapsed="false">
      <c r="A41" s="15" t="s">
        <v>219</v>
      </c>
      <c r="B41" s="15"/>
      <c r="C41" s="15"/>
      <c r="D41" s="15"/>
      <c r="E41" s="15"/>
      <c r="F41" s="15"/>
      <c r="G41" s="15"/>
      <c r="H41" s="15"/>
      <c r="I41" s="15"/>
    </row>
    <row r="42" customFormat="false" ht="45.75" hidden="false" customHeight="true" outlineLevel="0" collapsed="false">
      <c r="A42" s="18"/>
      <c r="B42" s="18" t="s">
        <v>82</v>
      </c>
      <c r="C42" s="18" t="s">
        <v>220</v>
      </c>
      <c r="D42" s="18" t="s">
        <v>221</v>
      </c>
      <c r="E42" s="18" t="s">
        <v>222</v>
      </c>
      <c r="F42" s="18" t="s">
        <v>223</v>
      </c>
      <c r="G42" s="18" t="s">
        <v>224</v>
      </c>
      <c r="H42" s="17"/>
      <c r="I42" s="17"/>
    </row>
    <row r="43" customFormat="false" ht="45.75" hidden="false" customHeight="true" outlineLevel="0" collapsed="false">
      <c r="A43" s="16"/>
      <c r="B43" s="16" t="s">
        <v>82</v>
      </c>
      <c r="C43" s="16" t="s">
        <v>225</v>
      </c>
      <c r="D43" s="16" t="s">
        <v>226</v>
      </c>
      <c r="E43" s="16" t="s">
        <v>227</v>
      </c>
      <c r="F43" s="16" t="s">
        <v>228</v>
      </c>
      <c r="G43" s="16" t="s">
        <v>229</v>
      </c>
      <c r="H43" s="17"/>
      <c r="I43" s="17"/>
    </row>
    <row r="44" customFormat="false" ht="45.75" hidden="false" customHeight="true" outlineLevel="0" collapsed="false">
      <c r="A44" s="18"/>
      <c r="B44" s="18" t="s">
        <v>82</v>
      </c>
      <c r="C44" s="18" t="s">
        <v>230</v>
      </c>
      <c r="D44" s="18" t="s">
        <v>231</v>
      </c>
      <c r="E44" s="18" t="s">
        <v>232</v>
      </c>
      <c r="F44" s="18" t="s">
        <v>223</v>
      </c>
      <c r="G44" s="18" t="s">
        <v>233</v>
      </c>
      <c r="H44" s="17"/>
      <c r="I44" s="17"/>
    </row>
    <row r="45" customFormat="false" ht="45.75" hidden="false" customHeight="true" outlineLevel="0" collapsed="false">
      <c r="A45" s="16"/>
      <c r="B45" s="16" t="s">
        <v>82</v>
      </c>
      <c r="C45" s="16" t="s">
        <v>234</v>
      </c>
      <c r="D45" s="16" t="s">
        <v>235</v>
      </c>
      <c r="E45" s="16" t="s">
        <v>236</v>
      </c>
      <c r="F45" s="16" t="s">
        <v>237</v>
      </c>
      <c r="G45" s="16" t="s">
        <v>238</v>
      </c>
      <c r="H45" s="17"/>
      <c r="I45" s="17"/>
    </row>
    <row r="46" customFormat="false" ht="45.75" hidden="false" customHeight="true" outlineLevel="0" collapsed="false">
      <c r="A46" s="18"/>
      <c r="B46" s="18" t="s">
        <v>82</v>
      </c>
      <c r="C46" s="18" t="s">
        <v>239</v>
      </c>
      <c r="D46" s="18" t="s">
        <v>240</v>
      </c>
      <c r="E46" s="18" t="s">
        <v>127</v>
      </c>
      <c r="F46" s="18" t="s">
        <v>241</v>
      </c>
      <c r="G46" s="18" t="s">
        <v>242</v>
      </c>
      <c r="H46" s="17"/>
      <c r="I46" s="17"/>
    </row>
    <row r="47" customFormat="false" ht="45.75" hidden="false" customHeight="true" outlineLevel="0" collapsed="false">
      <c r="A47" s="16"/>
      <c r="B47" s="16" t="s">
        <v>243</v>
      </c>
      <c r="C47" s="16" t="s">
        <v>244</v>
      </c>
      <c r="D47" s="16" t="s">
        <v>182</v>
      </c>
      <c r="E47" s="16" t="s">
        <v>245</v>
      </c>
      <c r="F47" s="16" t="s">
        <v>246</v>
      </c>
      <c r="G47" s="16" t="s">
        <v>247</v>
      </c>
      <c r="H47" s="17"/>
      <c r="I47" s="17"/>
    </row>
    <row r="48" customFormat="false" ht="45.75" hidden="false" customHeight="true" outlineLevel="0" collapsed="false">
      <c r="A48" s="18"/>
      <c r="B48" s="18" t="s">
        <v>101</v>
      </c>
      <c r="C48" s="18" t="s">
        <v>248</v>
      </c>
      <c r="D48" s="18" t="s">
        <v>249</v>
      </c>
      <c r="E48" s="18" t="s">
        <v>250</v>
      </c>
      <c r="F48" s="18" t="s">
        <v>251</v>
      </c>
      <c r="G48" s="18" t="s">
        <v>252</v>
      </c>
      <c r="H48" s="17"/>
      <c r="I48" s="17"/>
    </row>
    <row r="49" customFormat="false" ht="45.75" hidden="false" customHeight="true" outlineLevel="0" collapsed="false">
      <c r="A49" s="16"/>
      <c r="B49" s="16" t="s">
        <v>101</v>
      </c>
      <c r="C49" s="16" t="s">
        <v>253</v>
      </c>
      <c r="D49" s="16" t="s">
        <v>70</v>
      </c>
      <c r="E49" s="16" t="s">
        <v>127</v>
      </c>
      <c r="F49" s="16" t="s">
        <v>254</v>
      </c>
      <c r="G49" s="16" t="s">
        <v>255</v>
      </c>
      <c r="H49" s="17"/>
      <c r="I49" s="17"/>
    </row>
    <row r="50" customFormat="false" ht="45.75" hidden="false" customHeight="true" outlineLevel="0" collapsed="false">
      <c r="A50" s="18"/>
      <c r="B50" s="18" t="s">
        <v>101</v>
      </c>
      <c r="C50" s="18" t="s">
        <v>256</v>
      </c>
      <c r="D50" s="18" t="s">
        <v>257</v>
      </c>
      <c r="E50" s="18" t="s">
        <v>258</v>
      </c>
      <c r="F50" s="18" t="s">
        <v>259</v>
      </c>
      <c r="G50" s="18" t="s">
        <v>260</v>
      </c>
      <c r="H50" s="17"/>
      <c r="I50" s="17"/>
    </row>
    <row r="51" customFormat="false" ht="45.75" hidden="false" customHeight="true" outlineLevel="0" collapsed="false">
      <c r="A51" s="16"/>
      <c r="B51" s="16" t="s">
        <v>101</v>
      </c>
      <c r="C51" s="16" t="s">
        <v>261</v>
      </c>
      <c r="D51" s="16" t="s">
        <v>182</v>
      </c>
      <c r="E51" s="16" t="s">
        <v>262</v>
      </c>
      <c r="F51" s="16" t="s">
        <v>263</v>
      </c>
      <c r="G51" s="16" t="s">
        <v>264</v>
      </c>
      <c r="H51" s="17"/>
      <c r="I51" s="17"/>
    </row>
    <row r="52" customFormat="false" ht="45.75" hidden="false" customHeight="true" outlineLevel="0" collapsed="false">
      <c r="A52" s="18"/>
      <c r="B52" s="18" t="s">
        <v>101</v>
      </c>
      <c r="C52" s="18" t="s">
        <v>265</v>
      </c>
      <c r="D52" s="18" t="s">
        <v>266</v>
      </c>
      <c r="E52" s="18" t="s">
        <v>267</v>
      </c>
      <c r="F52" s="18" t="s">
        <v>268</v>
      </c>
      <c r="G52" s="18" t="s">
        <v>269</v>
      </c>
      <c r="H52" s="17"/>
      <c r="I52" s="17"/>
    </row>
    <row r="53" customFormat="false" ht="45.75" hidden="false" customHeight="true" outlineLevel="0" collapsed="false">
      <c r="A53" s="16"/>
      <c r="B53" s="16" t="s">
        <v>101</v>
      </c>
      <c r="C53" s="16" t="s">
        <v>270</v>
      </c>
      <c r="D53" s="16" t="s">
        <v>70</v>
      </c>
      <c r="E53" s="16" t="s">
        <v>271</v>
      </c>
      <c r="F53" s="16" t="s">
        <v>223</v>
      </c>
      <c r="G53" s="16" t="s">
        <v>272</v>
      </c>
      <c r="H53" s="17"/>
      <c r="I53" s="17"/>
    </row>
    <row r="54" customFormat="false" ht="45.75" hidden="false" customHeight="true" outlineLevel="0" collapsed="false">
      <c r="A54" s="18"/>
      <c r="B54" s="18" t="s">
        <v>101</v>
      </c>
      <c r="C54" s="18" t="s">
        <v>273</v>
      </c>
      <c r="D54" s="18" t="s">
        <v>274</v>
      </c>
      <c r="E54" s="18" t="s">
        <v>127</v>
      </c>
      <c r="F54" s="18" t="s">
        <v>275</v>
      </c>
      <c r="G54" s="18" t="s">
        <v>276</v>
      </c>
      <c r="H54" s="17"/>
      <c r="I54" s="17"/>
    </row>
    <row r="55" customFormat="false" ht="45.75" hidden="false" customHeight="true" outlineLevel="0" collapsed="false">
      <c r="A55" s="16"/>
      <c r="B55" s="16" t="s">
        <v>101</v>
      </c>
      <c r="C55" s="16" t="s">
        <v>277</v>
      </c>
      <c r="D55" s="16" t="s">
        <v>278</v>
      </c>
      <c r="E55" s="16" t="s">
        <v>279</v>
      </c>
      <c r="F55" s="16" t="s">
        <v>280</v>
      </c>
      <c r="G55" s="16" t="s">
        <v>138</v>
      </c>
      <c r="H55" s="17"/>
      <c r="I55" s="17"/>
    </row>
    <row r="56" customFormat="false" ht="45.75" hidden="false" customHeight="true" outlineLevel="0" collapsed="false">
      <c r="A56" s="18"/>
      <c r="B56" s="18" t="s">
        <v>101</v>
      </c>
      <c r="C56" s="18" t="s">
        <v>281</v>
      </c>
      <c r="D56" s="18" t="s">
        <v>282</v>
      </c>
      <c r="E56" s="18" t="s">
        <v>127</v>
      </c>
      <c r="F56" s="18" t="s">
        <v>283</v>
      </c>
      <c r="G56" s="18" t="s">
        <v>211</v>
      </c>
      <c r="H56" s="17"/>
      <c r="I56" s="17"/>
    </row>
    <row r="57" customFormat="false" ht="45.75" hidden="false" customHeight="true" outlineLevel="0" collapsed="false">
      <c r="A57" s="16"/>
      <c r="B57" s="16" t="s">
        <v>101</v>
      </c>
      <c r="C57" s="16" t="s">
        <v>284</v>
      </c>
      <c r="D57" s="16" t="s">
        <v>285</v>
      </c>
      <c r="E57" s="16" t="s">
        <v>286</v>
      </c>
      <c r="F57" s="16" t="s">
        <v>287</v>
      </c>
      <c r="G57" s="16" t="s">
        <v>143</v>
      </c>
      <c r="H57" s="17"/>
      <c r="I57" s="17"/>
    </row>
    <row r="58" customFormat="false" ht="45.75" hidden="false" customHeight="true" outlineLevel="0" collapsed="false">
      <c r="A58" s="18"/>
      <c r="B58" s="18" t="s">
        <v>101</v>
      </c>
      <c r="C58" s="18" t="s">
        <v>288</v>
      </c>
      <c r="D58" s="18" t="s">
        <v>182</v>
      </c>
      <c r="E58" s="18" t="s">
        <v>289</v>
      </c>
      <c r="F58" s="18" t="s">
        <v>290</v>
      </c>
      <c r="G58" s="18" t="s">
        <v>291</v>
      </c>
      <c r="H58" s="17"/>
      <c r="I58" s="17"/>
    </row>
    <row r="59" customFormat="false" ht="45.75" hidden="false" customHeight="true" outlineLevel="0" collapsed="false">
      <c r="A59" s="16"/>
      <c r="B59" s="16" t="s">
        <v>101</v>
      </c>
      <c r="C59" s="16" t="s">
        <v>292</v>
      </c>
      <c r="D59" s="16" t="s">
        <v>293</v>
      </c>
      <c r="E59" s="16" t="s">
        <v>127</v>
      </c>
      <c r="F59" s="16" t="s">
        <v>294</v>
      </c>
      <c r="G59" s="16" t="s">
        <v>295</v>
      </c>
      <c r="H59" s="17"/>
      <c r="I59" s="17"/>
    </row>
    <row r="60" customFormat="false" ht="45.75" hidden="false" customHeight="true" outlineLevel="0" collapsed="false">
      <c r="A60" s="18"/>
      <c r="B60" s="18" t="s">
        <v>101</v>
      </c>
      <c r="C60" s="18" t="s">
        <v>296</v>
      </c>
      <c r="D60" s="18" t="s">
        <v>297</v>
      </c>
      <c r="E60" s="18" t="s">
        <v>127</v>
      </c>
      <c r="F60" s="18" t="s">
        <v>298</v>
      </c>
      <c r="G60" s="18" t="s">
        <v>299</v>
      </c>
      <c r="H60" s="17"/>
      <c r="I60" s="17"/>
    </row>
    <row r="61" customFormat="false" ht="45.75" hidden="false" customHeight="true" outlineLevel="0" collapsed="false">
      <c r="A61" s="16"/>
      <c r="B61" s="16" t="s">
        <v>101</v>
      </c>
      <c r="C61" s="16" t="s">
        <v>300</v>
      </c>
      <c r="D61" s="16" t="s">
        <v>301</v>
      </c>
      <c r="E61" s="16" t="s">
        <v>127</v>
      </c>
      <c r="F61" s="16" t="s">
        <v>302</v>
      </c>
      <c r="G61" s="16" t="s">
        <v>303</v>
      </c>
      <c r="H61" s="17"/>
      <c r="I61" s="17"/>
    </row>
    <row r="62" customFormat="false" ht="45.75" hidden="false" customHeight="true" outlineLevel="0" collapsed="false">
      <c r="A62" s="18"/>
      <c r="B62" s="18" t="s">
        <v>101</v>
      </c>
      <c r="C62" s="18" t="s">
        <v>304</v>
      </c>
      <c r="D62" s="18" t="s">
        <v>305</v>
      </c>
      <c r="E62" s="18" t="s">
        <v>306</v>
      </c>
      <c r="F62" s="18" t="s">
        <v>307</v>
      </c>
      <c r="G62" s="18" t="s">
        <v>308</v>
      </c>
      <c r="H62" s="17"/>
      <c r="I62" s="17"/>
    </row>
    <row r="63" customFormat="false" ht="45.75" hidden="false" customHeight="true" outlineLevel="0" collapsed="false">
      <c r="A63" s="16"/>
      <c r="B63" s="16" t="s">
        <v>101</v>
      </c>
      <c r="C63" s="16" t="s">
        <v>309</v>
      </c>
      <c r="D63" s="16" t="s">
        <v>310</v>
      </c>
      <c r="E63" s="16" t="s">
        <v>127</v>
      </c>
      <c r="F63" s="16" t="s">
        <v>311</v>
      </c>
      <c r="G63" s="16" t="s">
        <v>312</v>
      </c>
      <c r="H63" s="17"/>
      <c r="I63" s="17"/>
    </row>
    <row r="64" customFormat="false" ht="45.75" hidden="false" customHeight="true" outlineLevel="0" collapsed="false">
      <c r="A64" s="18"/>
      <c r="B64" s="18" t="s">
        <v>101</v>
      </c>
      <c r="C64" s="18" t="s">
        <v>313</v>
      </c>
      <c r="D64" s="18" t="s">
        <v>141</v>
      </c>
      <c r="E64" s="18" t="s">
        <v>314</v>
      </c>
      <c r="F64" s="18" t="s">
        <v>315</v>
      </c>
      <c r="G64" s="18" t="s">
        <v>316</v>
      </c>
      <c r="H64" s="17"/>
      <c r="I64" s="17"/>
    </row>
    <row r="65" customFormat="false" ht="45.75" hidden="false" customHeight="true" outlineLevel="0" collapsed="false">
      <c r="A65" s="16"/>
      <c r="B65" s="16" t="s">
        <v>101</v>
      </c>
      <c r="C65" s="16" t="s">
        <v>317</v>
      </c>
      <c r="D65" s="16" t="s">
        <v>70</v>
      </c>
      <c r="E65" s="16" t="s">
        <v>271</v>
      </c>
      <c r="F65" s="16" t="s">
        <v>223</v>
      </c>
      <c r="G65" s="16" t="s">
        <v>318</v>
      </c>
      <c r="H65" s="17"/>
      <c r="I65" s="17"/>
    </row>
    <row r="66" customFormat="false" ht="45.75" hidden="false" customHeight="true" outlineLevel="0" collapsed="false">
      <c r="A66" s="18"/>
      <c r="B66" s="18" t="s">
        <v>101</v>
      </c>
      <c r="C66" s="18" t="s">
        <v>319</v>
      </c>
      <c r="D66" s="18" t="s">
        <v>320</v>
      </c>
      <c r="E66" s="18" t="s">
        <v>321</v>
      </c>
      <c r="F66" s="18" t="s">
        <v>322</v>
      </c>
      <c r="G66" s="18" t="s">
        <v>323</v>
      </c>
      <c r="H66" s="17"/>
      <c r="I66" s="17"/>
    </row>
    <row r="67" customFormat="false" ht="45.75" hidden="false" customHeight="true" outlineLevel="0" collapsed="false">
      <c r="A67" s="16"/>
      <c r="B67" s="16" t="s">
        <v>101</v>
      </c>
      <c r="C67" s="16" t="s">
        <v>324</v>
      </c>
      <c r="D67" s="16" t="s">
        <v>325</v>
      </c>
      <c r="E67" s="16" t="s">
        <v>326</v>
      </c>
      <c r="F67" s="16" t="s">
        <v>327</v>
      </c>
      <c r="G67" s="16" t="s">
        <v>328</v>
      </c>
      <c r="H67" s="17"/>
      <c r="I67" s="17"/>
    </row>
    <row r="68" customFormat="false" ht="45.75" hidden="false" customHeight="true" outlineLevel="0" collapsed="false">
      <c r="A68" s="18"/>
      <c r="B68" s="18" t="s">
        <v>101</v>
      </c>
      <c r="C68" s="18" t="s">
        <v>329</v>
      </c>
      <c r="D68" s="18" t="s">
        <v>330</v>
      </c>
      <c r="E68" s="18" t="s">
        <v>331</v>
      </c>
      <c r="F68" s="18" t="s">
        <v>332</v>
      </c>
      <c r="G68" s="18" t="s">
        <v>333</v>
      </c>
      <c r="H68" s="17"/>
      <c r="I68" s="17"/>
    </row>
    <row r="69" customFormat="false" ht="45.75" hidden="false" customHeight="true" outlineLevel="0" collapsed="false">
      <c r="A69" s="16"/>
      <c r="B69" s="16" t="s">
        <v>101</v>
      </c>
      <c r="C69" s="16" t="s">
        <v>334</v>
      </c>
      <c r="D69" s="16" t="s">
        <v>335</v>
      </c>
      <c r="E69" s="16" t="s">
        <v>336</v>
      </c>
      <c r="F69" s="16" t="s">
        <v>337</v>
      </c>
      <c r="G69" s="16" t="s">
        <v>338</v>
      </c>
      <c r="H69" s="17"/>
      <c r="I69" s="17"/>
    </row>
    <row r="70" customFormat="false" ht="45.75" hidden="false" customHeight="true" outlineLevel="0" collapsed="false">
      <c r="A70" s="18"/>
      <c r="B70" s="18" t="s">
        <v>101</v>
      </c>
      <c r="C70" s="18" t="s">
        <v>339</v>
      </c>
      <c r="D70" s="18" t="s">
        <v>182</v>
      </c>
      <c r="E70" s="18" t="s">
        <v>271</v>
      </c>
      <c r="F70" s="18" t="s">
        <v>223</v>
      </c>
      <c r="G70" s="18" t="s">
        <v>340</v>
      </c>
      <c r="H70" s="17"/>
      <c r="I70" s="17"/>
    </row>
    <row r="71" customFormat="false" ht="45.75" hidden="false" customHeight="true" outlineLevel="0" collapsed="false">
      <c r="A71" s="16"/>
      <c r="B71" s="16" t="s">
        <v>101</v>
      </c>
      <c r="C71" s="16" t="s">
        <v>341</v>
      </c>
      <c r="D71" s="16" t="s">
        <v>342</v>
      </c>
      <c r="E71" s="16" t="s">
        <v>343</v>
      </c>
      <c r="F71" s="16" t="s">
        <v>344</v>
      </c>
      <c r="G71" s="16" t="s">
        <v>345</v>
      </c>
      <c r="H71" s="17"/>
      <c r="I71" s="17"/>
    </row>
    <row r="72" customFormat="false" ht="19.5" hidden="false" customHeight="true" outlineLevel="0" collapsed="false">
      <c r="A72" s="15" t="s">
        <v>346</v>
      </c>
      <c r="B72" s="15"/>
      <c r="C72" s="15"/>
      <c r="D72" s="15"/>
      <c r="E72" s="15"/>
      <c r="F72" s="15"/>
      <c r="G72" s="15"/>
      <c r="H72" s="15"/>
      <c r="I72" s="15"/>
    </row>
    <row r="73" customFormat="false" ht="45.75" hidden="false" customHeight="true" outlineLevel="0" collapsed="false">
      <c r="A73" s="16"/>
      <c r="B73" s="16" t="s">
        <v>82</v>
      </c>
      <c r="C73" s="16" t="s">
        <v>347</v>
      </c>
      <c r="D73" s="16" t="s">
        <v>348</v>
      </c>
      <c r="E73" s="16" t="s">
        <v>127</v>
      </c>
      <c r="F73" s="16" t="s">
        <v>349</v>
      </c>
      <c r="G73" s="16" t="s">
        <v>350</v>
      </c>
      <c r="H73" s="17"/>
      <c r="I73" s="17"/>
    </row>
    <row r="74" customFormat="false" ht="45.75" hidden="false" customHeight="true" outlineLevel="0" collapsed="false">
      <c r="A74" s="18"/>
      <c r="B74" s="18" t="s">
        <v>101</v>
      </c>
      <c r="C74" s="18" t="s">
        <v>351</v>
      </c>
      <c r="D74" s="18" t="s">
        <v>352</v>
      </c>
      <c r="E74" s="18" t="s">
        <v>127</v>
      </c>
      <c r="F74" s="18" t="s">
        <v>353</v>
      </c>
      <c r="G74" s="18" t="s">
        <v>354</v>
      </c>
      <c r="H74" s="17"/>
      <c r="I74" s="17"/>
    </row>
    <row r="75" customFormat="false" ht="45.75" hidden="false" customHeight="true" outlineLevel="0" collapsed="false">
      <c r="A75" s="16"/>
      <c r="B75" s="16" t="s">
        <v>101</v>
      </c>
      <c r="C75" s="16" t="s">
        <v>355</v>
      </c>
      <c r="D75" s="16" t="s">
        <v>70</v>
      </c>
      <c r="E75" s="16" t="s">
        <v>356</v>
      </c>
      <c r="F75" s="16" t="s">
        <v>357</v>
      </c>
      <c r="G75" s="16" t="s">
        <v>73</v>
      </c>
      <c r="H75" s="17"/>
      <c r="I75" s="17"/>
    </row>
    <row r="76" customFormat="false" ht="45.75" hidden="false" customHeight="true" outlineLevel="0" collapsed="false">
      <c r="A76" s="18"/>
      <c r="B76" s="18" t="s">
        <v>101</v>
      </c>
      <c r="C76" s="18" t="s">
        <v>358</v>
      </c>
      <c r="D76" s="18" t="s">
        <v>216</v>
      </c>
      <c r="E76" s="18" t="s">
        <v>359</v>
      </c>
      <c r="F76" s="18" t="s">
        <v>360</v>
      </c>
      <c r="G76" s="18" t="s">
        <v>361</v>
      </c>
      <c r="H76" s="17"/>
      <c r="I76" s="17"/>
    </row>
    <row r="77" customFormat="false" ht="45.75" hidden="false" customHeight="true" outlineLevel="0" collapsed="false">
      <c r="A77" s="16"/>
      <c r="B77" s="16" t="s">
        <v>101</v>
      </c>
      <c r="C77" s="16" t="s">
        <v>362</v>
      </c>
      <c r="D77" s="16" t="s">
        <v>187</v>
      </c>
      <c r="E77" s="16" t="s">
        <v>363</v>
      </c>
      <c r="F77" s="16" t="s">
        <v>364</v>
      </c>
      <c r="G77" s="16" t="s">
        <v>365</v>
      </c>
      <c r="H77" s="17"/>
      <c r="I77" s="17"/>
    </row>
  </sheetData>
  <dataValidations count="1">
    <dataValidation allowBlank="true" errorStyle="stop" operator="between" showDropDown="false" showErrorMessage="false" showInputMessage="false" sqref="H2:H77" type="list">
      <formula1>"add,rejected,duplicate,defer,investigate"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4" t="s">
        <v>60</v>
      </c>
      <c r="B1" s="4" t="s">
        <v>366</v>
      </c>
      <c r="C1" s="4" t="s">
        <v>367</v>
      </c>
      <c r="D1" s="4" t="s">
        <v>368</v>
      </c>
      <c r="E1" s="4" t="s">
        <v>369</v>
      </c>
    </row>
    <row r="2" customFormat="false" ht="39.75" hidden="false" customHeight="true" outlineLevel="0" collapsed="false">
      <c r="A2" s="16" t="s">
        <v>185</v>
      </c>
      <c r="B2" s="16" t="s">
        <v>370</v>
      </c>
      <c r="C2" s="19" t="s">
        <v>371</v>
      </c>
      <c r="D2" s="16" t="s">
        <v>372</v>
      </c>
      <c r="E2" s="16" t="s">
        <v>373</v>
      </c>
    </row>
    <row r="3" customFormat="false" ht="39.75" hidden="false" customHeight="true" outlineLevel="0" collapsed="false">
      <c r="A3" s="16" t="s">
        <v>185</v>
      </c>
      <c r="B3" s="16" t="s">
        <v>374</v>
      </c>
      <c r="C3" s="19" t="s">
        <v>371</v>
      </c>
      <c r="D3" s="16" t="s">
        <v>372</v>
      </c>
      <c r="E3" s="16" t="s">
        <v>373</v>
      </c>
    </row>
    <row r="4" customFormat="false" ht="39.75" hidden="false" customHeight="true" outlineLevel="0" collapsed="false">
      <c r="A4" s="16" t="s">
        <v>243</v>
      </c>
      <c r="B4" s="16" t="s">
        <v>375</v>
      </c>
      <c r="C4" s="19" t="s">
        <v>371</v>
      </c>
      <c r="D4" s="16" t="s">
        <v>372</v>
      </c>
      <c r="E4" s="16" t="s">
        <v>373</v>
      </c>
    </row>
    <row r="5" customFormat="false" ht="39.75" hidden="false" customHeight="true" outlineLevel="0" collapsed="false">
      <c r="A5" s="16" t="s">
        <v>243</v>
      </c>
      <c r="B5" s="16" t="s">
        <v>376</v>
      </c>
      <c r="C5" s="19" t="s">
        <v>371</v>
      </c>
      <c r="D5" s="16" t="s">
        <v>372</v>
      </c>
      <c r="E5" s="16" t="s">
        <v>373</v>
      </c>
    </row>
    <row r="6" customFormat="false" ht="39.75" hidden="false" customHeight="true" outlineLevel="0" collapsed="false">
      <c r="A6" s="16" t="s">
        <v>101</v>
      </c>
      <c r="B6" s="16" t="s">
        <v>377</v>
      </c>
      <c r="C6" s="19" t="s">
        <v>371</v>
      </c>
      <c r="D6" s="16" t="s">
        <v>378</v>
      </c>
      <c r="E6" s="16"/>
    </row>
    <row r="7" customFormat="false" ht="39.75" hidden="false" customHeight="true" outlineLevel="0" collapsed="false">
      <c r="A7" s="16" t="s">
        <v>101</v>
      </c>
      <c r="B7" s="16" t="s">
        <v>379</v>
      </c>
      <c r="C7" s="19" t="s">
        <v>371</v>
      </c>
      <c r="D7" s="16" t="s">
        <v>378</v>
      </c>
      <c r="E7" s="16"/>
    </row>
    <row r="8" customFormat="false" ht="39.75" hidden="false" customHeight="true" outlineLevel="0" collapsed="false">
      <c r="A8" s="16" t="s">
        <v>101</v>
      </c>
      <c r="B8" s="16" t="s">
        <v>380</v>
      </c>
      <c r="C8" s="19" t="s">
        <v>371</v>
      </c>
      <c r="D8" s="16" t="s">
        <v>381</v>
      </c>
      <c r="E8" s="16" t="s">
        <v>382</v>
      </c>
    </row>
    <row r="9" customFormat="false" ht="39.75" hidden="false" customHeight="true" outlineLevel="0" collapsed="false">
      <c r="A9" s="16" t="s">
        <v>101</v>
      </c>
      <c r="B9" s="16" t="s">
        <v>383</v>
      </c>
      <c r="C9" s="19" t="s">
        <v>371</v>
      </c>
      <c r="D9" s="16" t="s">
        <v>378</v>
      </c>
      <c r="E9" s="16"/>
    </row>
    <row r="10" customFormat="false" ht="39.75" hidden="false" customHeight="true" outlineLevel="0" collapsed="false">
      <c r="A10" s="16" t="s">
        <v>243</v>
      </c>
      <c r="B10" s="16" t="s">
        <v>384</v>
      </c>
      <c r="C10" s="19" t="s">
        <v>371</v>
      </c>
      <c r="D10" s="16" t="s">
        <v>385</v>
      </c>
      <c r="E10" s="16"/>
    </row>
    <row r="11" customFormat="false" ht="39.75" hidden="false" customHeight="true" outlineLevel="0" collapsed="false">
      <c r="A11" s="16" t="s">
        <v>101</v>
      </c>
      <c r="B11" s="16" t="s">
        <v>386</v>
      </c>
      <c r="C11" s="19" t="s">
        <v>371</v>
      </c>
      <c r="D11" s="16" t="s">
        <v>378</v>
      </c>
      <c r="E11" s="16"/>
    </row>
    <row r="12" customFormat="false" ht="39.75" hidden="false" customHeight="true" outlineLevel="0" collapsed="false">
      <c r="A12" s="16" t="s">
        <v>101</v>
      </c>
      <c r="B12" s="16" t="s">
        <v>387</v>
      </c>
      <c r="C12" s="19" t="s">
        <v>371</v>
      </c>
      <c r="D12" s="16" t="s">
        <v>388</v>
      </c>
      <c r="E12" s="16" t="s">
        <v>389</v>
      </c>
    </row>
    <row r="13" customFormat="false" ht="39.75" hidden="false" customHeight="true" outlineLevel="0" collapsed="false">
      <c r="A13" s="16" t="s">
        <v>101</v>
      </c>
      <c r="B13" s="16" t="s">
        <v>390</v>
      </c>
      <c r="C13" s="19" t="s">
        <v>371</v>
      </c>
      <c r="D13" s="16" t="s">
        <v>391</v>
      </c>
      <c r="E13" s="16" t="s">
        <v>392</v>
      </c>
    </row>
    <row r="14" customFormat="false" ht="39.75" hidden="false" customHeight="true" outlineLevel="0" collapsed="false">
      <c r="A14" s="16" t="s">
        <v>101</v>
      </c>
      <c r="B14" s="16" t="s">
        <v>393</v>
      </c>
      <c r="C14" s="20" t="s">
        <v>394</v>
      </c>
      <c r="D14" s="16" t="s">
        <v>395</v>
      </c>
      <c r="E14" s="16" t="s">
        <v>396</v>
      </c>
    </row>
    <row r="15" customFormat="false" ht="39.75" hidden="false" customHeight="true" outlineLevel="0" collapsed="false">
      <c r="A15" s="16" t="s">
        <v>101</v>
      </c>
      <c r="B15" s="16" t="s">
        <v>397</v>
      </c>
      <c r="C15" s="20" t="s">
        <v>394</v>
      </c>
      <c r="D15" s="16" t="s">
        <v>398</v>
      </c>
      <c r="E15" s="16" t="s">
        <v>399</v>
      </c>
    </row>
    <row r="16" customFormat="false" ht="39.75" hidden="false" customHeight="true" outlineLevel="0" collapsed="false">
      <c r="A16" s="16" t="s">
        <v>101</v>
      </c>
      <c r="B16" s="16" t="s">
        <v>400</v>
      </c>
      <c r="C16" s="20" t="s">
        <v>394</v>
      </c>
      <c r="D16" s="16" t="s">
        <v>395</v>
      </c>
      <c r="E16" s="16" t="s">
        <v>396</v>
      </c>
    </row>
    <row r="17" customFormat="false" ht="39.75" hidden="false" customHeight="true" outlineLevel="0" collapsed="false">
      <c r="A17" s="16" t="s">
        <v>101</v>
      </c>
      <c r="B17" s="16" t="s">
        <v>401</v>
      </c>
      <c r="C17" s="20" t="s">
        <v>394</v>
      </c>
      <c r="D17" s="16" t="s">
        <v>395</v>
      </c>
      <c r="E17" s="16" t="s">
        <v>396</v>
      </c>
    </row>
    <row r="18" customFormat="false" ht="39.75" hidden="false" customHeight="true" outlineLevel="0" collapsed="false">
      <c r="A18" s="16" t="s">
        <v>101</v>
      </c>
      <c r="B18" s="16" t="s">
        <v>402</v>
      </c>
      <c r="C18" s="20" t="s">
        <v>394</v>
      </c>
      <c r="D18" s="16" t="s">
        <v>398</v>
      </c>
      <c r="E18" s="16" t="s">
        <v>399</v>
      </c>
    </row>
    <row r="19" customFormat="false" ht="39.75" hidden="false" customHeight="true" outlineLevel="0" collapsed="false">
      <c r="A19" s="16" t="s">
        <v>101</v>
      </c>
      <c r="B19" s="16" t="s">
        <v>403</v>
      </c>
      <c r="C19" s="20" t="s">
        <v>394</v>
      </c>
      <c r="D19" s="16" t="s">
        <v>395</v>
      </c>
      <c r="E19" s="16" t="s">
        <v>396</v>
      </c>
    </row>
    <row r="20" customFormat="false" ht="39.75" hidden="false" customHeight="true" outlineLevel="0" collapsed="false">
      <c r="A20" s="16" t="s">
        <v>185</v>
      </c>
      <c r="B20" s="16" t="s">
        <v>404</v>
      </c>
      <c r="C20" s="18" t="s">
        <v>405</v>
      </c>
      <c r="D20" s="16" t="s">
        <v>372</v>
      </c>
      <c r="E20" s="16" t="s">
        <v>406</v>
      </c>
    </row>
    <row r="21" customFormat="false" ht="39.75" hidden="false" customHeight="true" outlineLevel="0" collapsed="false">
      <c r="A21" s="16" t="s">
        <v>185</v>
      </c>
      <c r="B21" s="16" t="s">
        <v>407</v>
      </c>
      <c r="C21" s="19" t="s">
        <v>371</v>
      </c>
      <c r="D21" s="16" t="s">
        <v>372</v>
      </c>
      <c r="E21" s="16" t="s">
        <v>408</v>
      </c>
    </row>
    <row r="22" customFormat="false" ht="39.75" hidden="false" customHeight="true" outlineLevel="0" collapsed="false">
      <c r="A22" s="16" t="s">
        <v>185</v>
      </c>
      <c r="B22" s="16" t="s">
        <v>409</v>
      </c>
      <c r="C22" s="19" t="s">
        <v>371</v>
      </c>
      <c r="D22" s="16" t="s">
        <v>372</v>
      </c>
      <c r="E22" s="16" t="s">
        <v>408</v>
      </c>
    </row>
    <row r="23" customFormat="false" ht="39.75" hidden="false" customHeight="true" outlineLevel="0" collapsed="false">
      <c r="A23" s="16" t="s">
        <v>185</v>
      </c>
      <c r="B23" s="16" t="s">
        <v>410</v>
      </c>
      <c r="C23" s="19" t="s">
        <v>371</v>
      </c>
      <c r="D23" s="16" t="s">
        <v>372</v>
      </c>
      <c r="E23" s="16" t="s">
        <v>408</v>
      </c>
    </row>
    <row r="24" customFormat="false" ht="39.75" hidden="false" customHeight="true" outlineLevel="0" collapsed="false">
      <c r="A24" s="16" t="s">
        <v>101</v>
      </c>
      <c r="B24" s="16" t="s">
        <v>411</v>
      </c>
      <c r="C24" s="19" t="s">
        <v>371</v>
      </c>
      <c r="D24" s="16" t="s">
        <v>372</v>
      </c>
      <c r="E24" s="16" t="s">
        <v>373</v>
      </c>
    </row>
    <row r="25" customFormat="false" ht="39.75" hidden="false" customHeight="true" outlineLevel="0" collapsed="false">
      <c r="A25" s="16" t="s">
        <v>101</v>
      </c>
      <c r="B25" s="16" t="s">
        <v>412</v>
      </c>
      <c r="C25" s="19" t="s">
        <v>371</v>
      </c>
      <c r="D25" s="16" t="s">
        <v>372</v>
      </c>
      <c r="E25" s="16" t="s">
        <v>373</v>
      </c>
    </row>
    <row r="26" customFormat="false" ht="39.75" hidden="false" customHeight="true" outlineLevel="0" collapsed="false">
      <c r="A26" s="16" t="s">
        <v>243</v>
      </c>
      <c r="B26" s="16" t="s">
        <v>413</v>
      </c>
      <c r="C26" s="19" t="s">
        <v>371</v>
      </c>
      <c r="D26" s="16" t="s">
        <v>372</v>
      </c>
      <c r="E26" s="16" t="s">
        <v>373</v>
      </c>
    </row>
    <row r="27" customFormat="false" ht="39.75" hidden="false" customHeight="true" outlineLevel="0" collapsed="false">
      <c r="A27" s="16" t="s">
        <v>101</v>
      </c>
      <c r="B27" s="16" t="s">
        <v>414</v>
      </c>
      <c r="C27" s="19" t="s">
        <v>371</v>
      </c>
      <c r="D27" s="16" t="s">
        <v>388</v>
      </c>
      <c r="E27" s="16" t="s">
        <v>389</v>
      </c>
    </row>
    <row r="28" customFormat="false" ht="39.75" hidden="false" customHeight="true" outlineLevel="0" collapsed="false">
      <c r="A28" s="16" t="s">
        <v>271</v>
      </c>
      <c r="B28" s="16" t="s">
        <v>415</v>
      </c>
      <c r="C28" s="18" t="s">
        <v>187</v>
      </c>
      <c r="D28" s="16" t="s">
        <v>416</v>
      </c>
      <c r="E28" s="16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2026-09-10T19:16:25Z</dcterms:created>
  <dc:creator>openpyxl</dc:creator>
  <dc:description/>
  <dc:language>en-US</dc:language>
  <cp:lastModifiedBy/>
  <dcterms:modified xsi:type="dcterms:W3CDTF">2026-09-10T19:16:25Z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